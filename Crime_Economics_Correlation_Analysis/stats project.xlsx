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a5f7452ac8a5ad3/Desktop/"/>
    </mc:Choice>
  </mc:AlternateContent>
  <xr:revisionPtr revIDLastSave="145" documentId="8_{F6E5F895-2480-477A-AB64-9AC98970053E}" xr6:coauthVersionLast="47" xr6:coauthVersionMax="47" xr10:uidLastSave="{BC33CB7F-CC20-49D5-83FC-C7C608A84538}"/>
  <bookViews>
    <workbookView xWindow="-110" yWindow="-110" windowWidth="19420" windowHeight="10300" xr2:uid="{00000000-000D-0000-FFFF-FFFF00000000}"/>
  </bookViews>
  <sheets>
    <sheet name="Sheet1" sheetId="1" r:id="rId1"/>
    <sheet name="Scatter plots" sheetId="2" r:id="rId2"/>
  </sheets>
  <definedNames>
    <definedName name="_xlnm._FilterDatabase" localSheetId="0" hidden="1">Sheet1!$A$1:$J$176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K14" i="1"/>
  <c r="K11" i="1"/>
  <c r="K8" i="1"/>
  <c r="K5" i="1"/>
  <c r="K2" i="1"/>
</calcChain>
</file>

<file path=xl/sharedStrings.xml><?xml version="1.0" encoding="utf-8"?>
<sst xmlns="http://schemas.openxmlformats.org/spreadsheetml/2006/main" count="363" uniqueCount="194">
  <si>
    <t>Country</t>
  </si>
  <si>
    <t>Criminality</t>
  </si>
  <si>
    <t>Year</t>
  </si>
  <si>
    <t>GDP Per Capita (US$)</t>
  </si>
  <si>
    <t>Turkey</t>
  </si>
  <si>
    <t>South Africa</t>
  </si>
  <si>
    <t>Colombia</t>
  </si>
  <si>
    <t>Peru</t>
  </si>
  <si>
    <t>Iraq</t>
  </si>
  <si>
    <t>Suriname</t>
  </si>
  <si>
    <t>Venezuela</t>
  </si>
  <si>
    <t>Mauritius</t>
  </si>
  <si>
    <t>Botswana</t>
  </si>
  <si>
    <t>Guyana</t>
  </si>
  <si>
    <t>Senegal</t>
  </si>
  <si>
    <t>Brazil</t>
  </si>
  <si>
    <t>Cambodia</t>
  </si>
  <si>
    <t>Nigeria</t>
  </si>
  <si>
    <t>Philippines</t>
  </si>
  <si>
    <t>Rwanda</t>
  </si>
  <si>
    <t>Ghana</t>
  </si>
  <si>
    <t>Bolivia</t>
  </si>
  <si>
    <t>Kenya</t>
  </si>
  <si>
    <t>Afghanistan</t>
  </si>
  <si>
    <t>Indonesia</t>
  </si>
  <si>
    <t>Namibia</t>
  </si>
  <si>
    <t>Mexico</t>
  </si>
  <si>
    <t>Sao Tome and Principe</t>
  </si>
  <si>
    <t>Tunisia</t>
  </si>
  <si>
    <t>Algeria</t>
  </si>
  <si>
    <t>Morocco</t>
  </si>
  <si>
    <t>Seychelles</t>
  </si>
  <si>
    <t>Djibouti</t>
  </si>
  <si>
    <t>India</t>
  </si>
  <si>
    <t>Angola</t>
  </si>
  <si>
    <t>Saudi Arabia</t>
  </si>
  <si>
    <t>Switzerland</t>
  </si>
  <si>
    <t>Yemen</t>
  </si>
  <si>
    <t>Tajikistan</t>
  </si>
  <si>
    <t>Zambia</t>
  </si>
  <si>
    <t>Turkmenistan</t>
  </si>
  <si>
    <t>Ireland</t>
  </si>
  <si>
    <t>Malawi</t>
  </si>
  <si>
    <t>Myanmar</t>
  </si>
  <si>
    <t>Nepal</t>
  </si>
  <si>
    <t>Tanzania</t>
  </si>
  <si>
    <t>Ecuador</t>
  </si>
  <si>
    <t>Costa Rica</t>
  </si>
  <si>
    <t>Togo</t>
  </si>
  <si>
    <t>Bahrain</t>
  </si>
  <si>
    <t>Uganda</t>
  </si>
  <si>
    <t>Uzbekistan</t>
  </si>
  <si>
    <t>Vietnam</t>
  </si>
  <si>
    <t>Thailand</t>
  </si>
  <si>
    <t>Panama</t>
  </si>
  <si>
    <t>United Arab Emirates</t>
  </si>
  <si>
    <t>Nicaragua</t>
  </si>
  <si>
    <t>Kuwait</t>
  </si>
  <si>
    <t>Lesotho</t>
  </si>
  <si>
    <t>Burkina Faso</t>
  </si>
  <si>
    <t>Haiti</t>
  </si>
  <si>
    <t>Azerbaijan</t>
  </si>
  <si>
    <t>Malaysia</t>
  </si>
  <si>
    <t>Benin</t>
  </si>
  <si>
    <t>Papua New Guinea</t>
  </si>
  <si>
    <t>Oman</t>
  </si>
  <si>
    <t>Pakistan</t>
  </si>
  <si>
    <t>Sierra Leone</t>
  </si>
  <si>
    <t>France</t>
  </si>
  <si>
    <t>Netherlands</t>
  </si>
  <si>
    <t>Andorra</t>
  </si>
  <si>
    <t>Madagascar</t>
  </si>
  <si>
    <t>Israel</t>
  </si>
  <si>
    <t>Belgium</t>
  </si>
  <si>
    <t>Qatar</t>
  </si>
  <si>
    <t>Honduras</t>
  </si>
  <si>
    <t>Mozambique</t>
  </si>
  <si>
    <t>Germany</t>
  </si>
  <si>
    <t>United Kingdom</t>
  </si>
  <si>
    <t>Austria</t>
  </si>
  <si>
    <t>Congo, Rep.</t>
  </si>
  <si>
    <t>Lebanon</t>
  </si>
  <si>
    <t>China</t>
  </si>
  <si>
    <t>Bhutan</t>
  </si>
  <si>
    <t>Luxembourg</t>
  </si>
  <si>
    <t>United States</t>
  </si>
  <si>
    <t>Kazakhstan</t>
  </si>
  <si>
    <t>Dominican Republic</t>
  </si>
  <si>
    <t>Eswatini</t>
  </si>
  <si>
    <t>Italy</t>
  </si>
  <si>
    <t>Niger</t>
  </si>
  <si>
    <t>Malta</t>
  </si>
  <si>
    <t>Zimbabwe</t>
  </si>
  <si>
    <t>Liberia</t>
  </si>
  <si>
    <t>Mongolia</t>
  </si>
  <si>
    <t>Gabon</t>
  </si>
  <si>
    <t>Portugal</t>
  </si>
  <si>
    <t>Greece</t>
  </si>
  <si>
    <t>Cuba</t>
  </si>
  <si>
    <t>Cameroon</t>
  </si>
  <si>
    <t>Mauritania</t>
  </si>
  <si>
    <t>Sudan</t>
  </si>
  <si>
    <t>Guinea</t>
  </si>
  <si>
    <t>Paraguay</t>
  </si>
  <si>
    <t>Bangladesh</t>
  </si>
  <si>
    <t>Armenia</t>
  </si>
  <si>
    <t>Spain</t>
  </si>
  <si>
    <t>Cyprus</t>
  </si>
  <si>
    <t>Chad</t>
  </si>
  <si>
    <t>Nauru</t>
  </si>
  <si>
    <t>San Marino</t>
  </si>
  <si>
    <t>Guinea-Bissau</t>
  </si>
  <si>
    <t>Japan</t>
  </si>
  <si>
    <t>Norway</t>
  </si>
  <si>
    <t>Belize</t>
  </si>
  <si>
    <t>Mali</t>
  </si>
  <si>
    <t>Sri Lanka</t>
  </si>
  <si>
    <t>Estonia</t>
  </si>
  <si>
    <t>Sweden</t>
  </si>
  <si>
    <t>Georgia</t>
  </si>
  <si>
    <t>Denmark</t>
  </si>
  <si>
    <t>Argentina</t>
  </si>
  <si>
    <t>Latvia</t>
  </si>
  <si>
    <t>Lithuania</t>
  </si>
  <si>
    <t>Canada</t>
  </si>
  <si>
    <t>Finland</t>
  </si>
  <si>
    <t>Grenada</t>
  </si>
  <si>
    <t>Iceland</t>
  </si>
  <si>
    <t>Comoros</t>
  </si>
  <si>
    <t>Ukraine</t>
  </si>
  <si>
    <t>Solomon Islands</t>
  </si>
  <si>
    <t>Guatemala</t>
  </si>
  <si>
    <t>Albania</t>
  </si>
  <si>
    <t>Poland</t>
  </si>
  <si>
    <t>Kiribati</t>
  </si>
  <si>
    <t>Eritrea</t>
  </si>
  <si>
    <t>Korea, Rep.</t>
  </si>
  <si>
    <t>Chile</t>
  </si>
  <si>
    <t>Fiji</t>
  </si>
  <si>
    <t>Brunei</t>
  </si>
  <si>
    <t>Bulgaria</t>
  </si>
  <si>
    <t>Congo, Dem. Rep.</t>
  </si>
  <si>
    <t>Belarus</t>
  </si>
  <si>
    <t>Tonga</t>
  </si>
  <si>
    <t>Croatia</t>
  </si>
  <si>
    <t>Romania</t>
  </si>
  <si>
    <t>Equatorial Guinea</t>
  </si>
  <si>
    <t>Samoa</t>
  </si>
  <si>
    <t>St. Kitts and Nevis</t>
  </si>
  <si>
    <t>Hungary</t>
  </si>
  <si>
    <t>Montenegro</t>
  </si>
  <si>
    <t>Trinidad and Tobago</t>
  </si>
  <si>
    <t>Czech Republic</t>
  </si>
  <si>
    <t>Barbados</t>
  </si>
  <si>
    <t>Palau</t>
  </si>
  <si>
    <t>El Salvador</t>
  </si>
  <si>
    <t>Vanuatu</t>
  </si>
  <si>
    <t>Singapore</t>
  </si>
  <si>
    <t>Jordan</t>
  </si>
  <si>
    <t>New Zealand</t>
  </si>
  <si>
    <t>Antigua and Barbuda</t>
  </si>
  <si>
    <t>Bosnia and Herzegovina</t>
  </si>
  <si>
    <t>North Macedonia</t>
  </si>
  <si>
    <t>Moldova</t>
  </si>
  <si>
    <t>Marshall Islands</t>
  </si>
  <si>
    <t>Burundi</t>
  </si>
  <si>
    <t>Central African Republic</t>
  </si>
  <si>
    <t>Tuvalu</t>
  </si>
  <si>
    <t>Maldives</t>
  </si>
  <si>
    <t>South Sudan</t>
  </si>
  <si>
    <t>Somalia</t>
  </si>
  <si>
    <t>Uruguay</t>
  </si>
  <si>
    <t>Libya</t>
  </si>
  <si>
    <t>Jamaica</t>
  </si>
  <si>
    <t>St. Vincent and the Grenadines</t>
  </si>
  <si>
    <t>Slovenia</t>
  </si>
  <si>
    <t>St. Lucia</t>
  </si>
  <si>
    <t>Dominica</t>
  </si>
  <si>
    <t>Export (US$ Thousand)</t>
  </si>
  <si>
    <t>Import (US$ Thousand)</t>
  </si>
  <si>
    <t>Covariance between Criminality and Import</t>
  </si>
  <si>
    <t>Covariance between Criminality and Export</t>
  </si>
  <si>
    <t>Covariance between Crimanality and GDP Per Capita</t>
  </si>
  <si>
    <t>Correlation Coefficient between Criminality and GDP Per Capita</t>
  </si>
  <si>
    <t>Correlation Coefficient between Criminality and Import</t>
  </si>
  <si>
    <t>Correlation Coefficient between Criminality and Export</t>
  </si>
  <si>
    <t>Australia</t>
  </si>
  <si>
    <t>Asia</t>
  </si>
  <si>
    <t>Europe</t>
  </si>
  <si>
    <t>Africa</t>
  </si>
  <si>
    <t>North America</t>
  </si>
  <si>
    <t>South America</t>
  </si>
  <si>
    <t>Oceania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</si>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</sst>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top"/>
    </xf>
    <xf numFmtId="0" fontId="2" fillId="3" borderId="1" xfId="0" applyFont="1" applyFill="1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Criminality vs Export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Export (US$ Thousand)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Sheet1!$D$2:$D$176</c:f>
              <c:numCache>
                <c:formatCode>General</c:formatCode>
                <c:ptCount val="175"/>
                <c:pt idx="0">
                  <c:v>7.08</c:v>
                </c:pt>
                <c:pt idx="1">
                  <c:v>5.63</c:v>
                </c:pt>
                <c:pt idx="2">
                  <c:v>4.51</c:v>
                </c:pt>
                <c:pt idx="3">
                  <c:v>2.96</c:v>
                </c:pt>
                <c:pt idx="4">
                  <c:v>5.29</c:v>
                </c:pt>
                <c:pt idx="5">
                  <c:v>3.34</c:v>
                </c:pt>
                <c:pt idx="6">
                  <c:v>4.38</c:v>
                </c:pt>
                <c:pt idx="7">
                  <c:v>3.26</c:v>
                </c:pt>
                <c:pt idx="8">
                  <c:v>4</c:v>
                </c:pt>
                <c:pt idx="9">
                  <c:v>4.04</c:v>
                </c:pt>
                <c:pt idx="10">
                  <c:v>5.08</c:v>
                </c:pt>
                <c:pt idx="11">
                  <c:v>4.83</c:v>
                </c:pt>
                <c:pt idx="12">
                  <c:v>4.9800000000000004</c:v>
                </c:pt>
                <c:pt idx="13">
                  <c:v>3.21</c:v>
                </c:pt>
                <c:pt idx="14">
                  <c:v>5.08</c:v>
                </c:pt>
                <c:pt idx="15">
                  <c:v>4.34</c:v>
                </c:pt>
                <c:pt idx="16">
                  <c:v>4.6399999999999997</c:v>
                </c:pt>
                <c:pt idx="17">
                  <c:v>5.25</c:v>
                </c:pt>
                <c:pt idx="18">
                  <c:v>3.69</c:v>
                </c:pt>
                <c:pt idx="19">
                  <c:v>4.3</c:v>
                </c:pt>
                <c:pt idx="20">
                  <c:v>5.89</c:v>
                </c:pt>
                <c:pt idx="21">
                  <c:v>3.71</c:v>
                </c:pt>
                <c:pt idx="22">
                  <c:v>6.5</c:v>
                </c:pt>
                <c:pt idx="23">
                  <c:v>2.76</c:v>
                </c:pt>
                <c:pt idx="24">
                  <c:v>5.43</c:v>
                </c:pt>
                <c:pt idx="25">
                  <c:v>5.49</c:v>
                </c:pt>
                <c:pt idx="26">
                  <c:v>4.51</c:v>
                </c:pt>
                <c:pt idx="27">
                  <c:v>5.83</c:v>
                </c:pt>
                <c:pt idx="28">
                  <c:v>6.31</c:v>
                </c:pt>
                <c:pt idx="29">
                  <c:v>3.66</c:v>
                </c:pt>
                <c:pt idx="30">
                  <c:v>7.04</c:v>
                </c:pt>
                <c:pt idx="31">
                  <c:v>5.86</c:v>
                </c:pt>
                <c:pt idx="32">
                  <c:v>4.5999999999999996</c:v>
                </c:pt>
                <c:pt idx="33">
                  <c:v>6.01</c:v>
                </c:pt>
                <c:pt idx="34">
                  <c:v>7.66</c:v>
                </c:pt>
                <c:pt idx="35">
                  <c:v>3.86</c:v>
                </c:pt>
                <c:pt idx="36">
                  <c:v>7.75</c:v>
                </c:pt>
                <c:pt idx="37">
                  <c:v>5.03</c:v>
                </c:pt>
                <c:pt idx="38">
                  <c:v>4.99</c:v>
                </c:pt>
                <c:pt idx="39">
                  <c:v>5.0599999999999996</c:v>
                </c:pt>
                <c:pt idx="40">
                  <c:v>3.44</c:v>
                </c:pt>
                <c:pt idx="41">
                  <c:v>4.1900000000000004</c:v>
                </c:pt>
                <c:pt idx="42">
                  <c:v>4.63</c:v>
                </c:pt>
                <c:pt idx="43">
                  <c:v>3.86</c:v>
                </c:pt>
                <c:pt idx="44">
                  <c:v>3.99</c:v>
                </c:pt>
                <c:pt idx="45">
                  <c:v>2.63</c:v>
                </c:pt>
                <c:pt idx="46">
                  <c:v>5.15</c:v>
                </c:pt>
                <c:pt idx="47">
                  <c:v>6.25</c:v>
                </c:pt>
                <c:pt idx="48">
                  <c:v>5.94</c:v>
                </c:pt>
                <c:pt idx="49">
                  <c:v>4.1100000000000003</c:v>
                </c:pt>
                <c:pt idx="50">
                  <c:v>4.34</c:v>
                </c:pt>
                <c:pt idx="51">
                  <c:v>3.6</c:v>
                </c:pt>
                <c:pt idx="52">
                  <c:v>3.63</c:v>
                </c:pt>
                <c:pt idx="53">
                  <c:v>3.9</c:v>
                </c:pt>
                <c:pt idx="54">
                  <c:v>2.71</c:v>
                </c:pt>
                <c:pt idx="55">
                  <c:v>5.66</c:v>
                </c:pt>
                <c:pt idx="56">
                  <c:v>4.9000000000000004</c:v>
                </c:pt>
                <c:pt idx="57">
                  <c:v>2.96</c:v>
                </c:pt>
                <c:pt idx="58">
                  <c:v>4.9000000000000004</c:v>
                </c:pt>
                <c:pt idx="59">
                  <c:v>6.01</c:v>
                </c:pt>
                <c:pt idx="60">
                  <c:v>4.93</c:v>
                </c:pt>
                <c:pt idx="61">
                  <c:v>3.05</c:v>
                </c:pt>
                <c:pt idx="62">
                  <c:v>6.48</c:v>
                </c:pt>
                <c:pt idx="63">
                  <c:v>5.2</c:v>
                </c:pt>
                <c:pt idx="64">
                  <c:v>5.45</c:v>
                </c:pt>
                <c:pt idx="65">
                  <c:v>5.0999999999999996</c:v>
                </c:pt>
                <c:pt idx="66">
                  <c:v>5.73</c:v>
                </c:pt>
                <c:pt idx="67">
                  <c:v>6.98</c:v>
                </c:pt>
                <c:pt idx="68">
                  <c:v>4.5</c:v>
                </c:pt>
                <c:pt idx="69">
                  <c:v>3.39</c:v>
                </c:pt>
                <c:pt idx="70">
                  <c:v>5.53</c:v>
                </c:pt>
                <c:pt idx="71">
                  <c:v>6.38</c:v>
                </c:pt>
                <c:pt idx="72">
                  <c:v>7.05</c:v>
                </c:pt>
                <c:pt idx="73">
                  <c:v>4.9000000000000004</c:v>
                </c:pt>
                <c:pt idx="74">
                  <c:v>4.41</c:v>
                </c:pt>
                <c:pt idx="75">
                  <c:v>5.81</c:v>
                </c:pt>
                <c:pt idx="76">
                  <c:v>5.91</c:v>
                </c:pt>
                <c:pt idx="77">
                  <c:v>4.53</c:v>
                </c:pt>
                <c:pt idx="78">
                  <c:v>4.71</c:v>
                </c:pt>
                <c:pt idx="79">
                  <c:v>4.26</c:v>
                </c:pt>
                <c:pt idx="80">
                  <c:v>6.95</c:v>
                </c:pt>
                <c:pt idx="81">
                  <c:v>2.35</c:v>
                </c:pt>
                <c:pt idx="82">
                  <c:v>4.91</c:v>
                </c:pt>
                <c:pt idx="83">
                  <c:v>5.14</c:v>
                </c:pt>
                <c:pt idx="84">
                  <c:v>3.51</c:v>
                </c:pt>
                <c:pt idx="85">
                  <c:v>6.76</c:v>
                </c:pt>
                <c:pt idx="86">
                  <c:v>3.9</c:v>
                </c:pt>
                <c:pt idx="87">
                  <c:v>5.05</c:v>
                </c:pt>
                <c:pt idx="88">
                  <c:v>6.55</c:v>
                </c:pt>
                <c:pt idx="89">
                  <c:v>3.31</c:v>
                </c:pt>
                <c:pt idx="90">
                  <c:v>2.36</c:v>
                </c:pt>
                <c:pt idx="91">
                  <c:v>5.59</c:v>
                </c:pt>
                <c:pt idx="92">
                  <c:v>3.83</c:v>
                </c:pt>
                <c:pt idx="93">
                  <c:v>5.94</c:v>
                </c:pt>
                <c:pt idx="94">
                  <c:v>4.0599999999999996</c:v>
                </c:pt>
                <c:pt idx="95">
                  <c:v>5.89</c:v>
                </c:pt>
                <c:pt idx="96">
                  <c:v>4.6500000000000004</c:v>
                </c:pt>
                <c:pt idx="97">
                  <c:v>2.31</c:v>
                </c:pt>
                <c:pt idx="98">
                  <c:v>4.38</c:v>
                </c:pt>
                <c:pt idx="99">
                  <c:v>4.51</c:v>
                </c:pt>
                <c:pt idx="100">
                  <c:v>7.56</c:v>
                </c:pt>
                <c:pt idx="101">
                  <c:v>4.45</c:v>
                </c:pt>
                <c:pt idx="102">
                  <c:v>4.01</c:v>
                </c:pt>
                <c:pt idx="103">
                  <c:v>6</c:v>
                </c:pt>
                <c:pt idx="104">
                  <c:v>4.79</c:v>
                </c:pt>
                <c:pt idx="105">
                  <c:v>6.53</c:v>
                </c:pt>
                <c:pt idx="106">
                  <c:v>7.59</c:v>
                </c:pt>
                <c:pt idx="107">
                  <c:v>4.33</c:v>
                </c:pt>
                <c:pt idx="108">
                  <c:v>1.76</c:v>
                </c:pt>
                <c:pt idx="109">
                  <c:v>6.16</c:v>
                </c:pt>
                <c:pt idx="110">
                  <c:v>4.6900000000000004</c:v>
                </c:pt>
                <c:pt idx="111">
                  <c:v>3.25</c:v>
                </c:pt>
                <c:pt idx="112">
                  <c:v>6.06</c:v>
                </c:pt>
                <c:pt idx="113">
                  <c:v>6.01</c:v>
                </c:pt>
                <c:pt idx="114">
                  <c:v>7.15</c:v>
                </c:pt>
                <c:pt idx="115">
                  <c:v>5.31</c:v>
                </c:pt>
                <c:pt idx="116">
                  <c:v>3.81</c:v>
                </c:pt>
                <c:pt idx="117">
                  <c:v>4.1399999999999997</c:v>
                </c:pt>
                <c:pt idx="118">
                  <c:v>6.28</c:v>
                </c:pt>
                <c:pt idx="119">
                  <c:v>2.94</c:v>
                </c:pt>
                <c:pt idx="120">
                  <c:v>6.68</c:v>
                </c:pt>
                <c:pt idx="121">
                  <c:v>5.44</c:v>
                </c:pt>
                <c:pt idx="122">
                  <c:v>6.7</c:v>
                </c:pt>
                <c:pt idx="123">
                  <c:v>6.35</c:v>
                </c:pt>
                <c:pt idx="124">
                  <c:v>6.84</c:v>
                </c:pt>
                <c:pt idx="125">
                  <c:v>4.01</c:v>
                </c:pt>
                <c:pt idx="126">
                  <c:v>4.55</c:v>
                </c:pt>
                <c:pt idx="127">
                  <c:v>5.21</c:v>
                </c:pt>
                <c:pt idx="128">
                  <c:v>4.59</c:v>
                </c:pt>
                <c:pt idx="129">
                  <c:v>3.68</c:v>
                </c:pt>
                <c:pt idx="130">
                  <c:v>2.04</c:v>
                </c:pt>
                <c:pt idx="131">
                  <c:v>3.01</c:v>
                </c:pt>
                <c:pt idx="132">
                  <c:v>1.78</c:v>
                </c:pt>
                <c:pt idx="133">
                  <c:v>6.01</c:v>
                </c:pt>
                <c:pt idx="134">
                  <c:v>4.8099999999999996</c:v>
                </c:pt>
                <c:pt idx="135">
                  <c:v>3.68</c:v>
                </c:pt>
                <c:pt idx="136">
                  <c:v>5.4</c:v>
                </c:pt>
                <c:pt idx="137">
                  <c:v>3.13</c:v>
                </c:pt>
                <c:pt idx="138">
                  <c:v>4.29</c:v>
                </c:pt>
                <c:pt idx="139">
                  <c:v>4.1500000000000004</c:v>
                </c:pt>
                <c:pt idx="140">
                  <c:v>5.79</c:v>
                </c:pt>
                <c:pt idx="141">
                  <c:v>6.63</c:v>
                </c:pt>
                <c:pt idx="142">
                  <c:v>6.34</c:v>
                </c:pt>
                <c:pt idx="143">
                  <c:v>5.78</c:v>
                </c:pt>
                <c:pt idx="144">
                  <c:v>4.6399999999999997</c:v>
                </c:pt>
                <c:pt idx="145">
                  <c:v>4.0999999999999996</c:v>
                </c:pt>
                <c:pt idx="146">
                  <c:v>4.09</c:v>
                </c:pt>
                <c:pt idx="147">
                  <c:v>3.3</c:v>
                </c:pt>
                <c:pt idx="148">
                  <c:v>6.46</c:v>
                </c:pt>
                <c:pt idx="149">
                  <c:v>4.9000000000000004</c:v>
                </c:pt>
                <c:pt idx="150">
                  <c:v>4.5599999999999996</c:v>
                </c:pt>
                <c:pt idx="151">
                  <c:v>4.34</c:v>
                </c:pt>
                <c:pt idx="152">
                  <c:v>5.61</c:v>
                </c:pt>
                <c:pt idx="153">
                  <c:v>6.15</c:v>
                </c:pt>
                <c:pt idx="154">
                  <c:v>5.76</c:v>
                </c:pt>
                <c:pt idx="155">
                  <c:v>5.33</c:v>
                </c:pt>
                <c:pt idx="156">
                  <c:v>3.78</c:v>
                </c:pt>
                <c:pt idx="157">
                  <c:v>4.9400000000000004</c:v>
                </c:pt>
                <c:pt idx="158">
                  <c:v>3.79</c:v>
                </c:pt>
                <c:pt idx="159">
                  <c:v>6.89</c:v>
                </c:pt>
                <c:pt idx="160">
                  <c:v>4.6100000000000003</c:v>
                </c:pt>
                <c:pt idx="161">
                  <c:v>1.54</c:v>
                </c:pt>
                <c:pt idx="162">
                  <c:v>6.14</c:v>
                </c:pt>
                <c:pt idx="163">
                  <c:v>6.18</c:v>
                </c:pt>
                <c:pt idx="164">
                  <c:v>5.75</c:v>
                </c:pt>
                <c:pt idx="165">
                  <c:v>4.8899999999999997</c:v>
                </c:pt>
                <c:pt idx="166">
                  <c:v>5.5</c:v>
                </c:pt>
                <c:pt idx="167">
                  <c:v>2.69</c:v>
                </c:pt>
                <c:pt idx="168">
                  <c:v>4.96</c:v>
                </c:pt>
                <c:pt idx="169">
                  <c:v>2.2000000000000002</c:v>
                </c:pt>
                <c:pt idx="170">
                  <c:v>6.64</c:v>
                </c:pt>
                <c:pt idx="171">
                  <c:v>6.28</c:v>
                </c:pt>
                <c:pt idx="172">
                  <c:v>6.13</c:v>
                </c:pt>
                <c:pt idx="173">
                  <c:v>4.93</c:v>
                </c:pt>
                <c:pt idx="174">
                  <c:v>5.66</c:v>
                </c:pt>
              </c:numCache>
            </c:numRef>
          </c:xVal>
          <c:yVal>
            <c:numRef>
              <c:f>Sheet1!$E$2:$E$176</c:f>
              <c:numCache>
                <c:formatCode>General</c:formatCode>
                <c:ptCount val="175"/>
                <c:pt idx="0">
                  <c:v>5916036</c:v>
                </c:pt>
                <c:pt idx="1">
                  <c:v>12076545.76</c:v>
                </c:pt>
                <c:pt idx="2">
                  <c:v>51503438.600000001</c:v>
                </c:pt>
                <c:pt idx="3">
                  <c:v>3080441.42</c:v>
                </c:pt>
                <c:pt idx="4">
                  <c:v>12653996.539999999</c:v>
                </c:pt>
                <c:pt idx="5">
                  <c:v>1671451.25</c:v>
                </c:pt>
                <c:pt idx="6">
                  <c:v>65386155.68</c:v>
                </c:pt>
                <c:pt idx="7">
                  <c:v>5013378.9000000004</c:v>
                </c:pt>
                <c:pt idx="8">
                  <c:v>279420552.81999999</c:v>
                </c:pt>
                <c:pt idx="9">
                  <c:v>198504368.65000001</c:v>
                </c:pt>
                <c:pt idx="10">
                  <c:v>12656531.810000001</c:v>
                </c:pt>
                <c:pt idx="11">
                  <c:v>18033386.039999999</c:v>
                </c:pt>
                <c:pt idx="12">
                  <c:v>80568124.280000001</c:v>
                </c:pt>
                <c:pt idx="13">
                  <c:v>2033698.44</c:v>
                </c:pt>
                <c:pt idx="14">
                  <c:v>46327623.82</c:v>
                </c:pt>
                <c:pt idx="15">
                  <c:v>464825537.13</c:v>
                </c:pt>
                <c:pt idx="16">
                  <c:v>1437323.04</c:v>
                </c:pt>
                <c:pt idx="17">
                  <c:v>5297109.63</c:v>
                </c:pt>
                <c:pt idx="18">
                  <c:v>1143520.99</c:v>
                </c:pt>
                <c:pt idx="19">
                  <c:v>7431946.4199999999</c:v>
                </c:pt>
                <c:pt idx="20">
                  <c:v>19007894.829999998</c:v>
                </c:pt>
                <c:pt idx="21">
                  <c:v>7327565.1900000004</c:v>
                </c:pt>
                <c:pt idx="22">
                  <c:v>259319343.50999999</c:v>
                </c:pt>
                <c:pt idx="23">
                  <c:v>5952745.8300000001</c:v>
                </c:pt>
                <c:pt idx="24">
                  <c:v>45462924.710000001</c:v>
                </c:pt>
                <c:pt idx="25">
                  <c:v>3767305.57</c:v>
                </c:pt>
                <c:pt idx="26">
                  <c:v>743517.64</c:v>
                </c:pt>
                <c:pt idx="27">
                  <c:v>37816122.969999999</c:v>
                </c:pt>
                <c:pt idx="28">
                  <c:v>9951558.7699999996</c:v>
                </c:pt>
                <c:pt idx="29">
                  <c:v>529223309.47000003</c:v>
                </c:pt>
                <c:pt idx="30">
                  <c:v>406990</c:v>
                </c:pt>
                <c:pt idx="31">
                  <c:v>1320752.1599999999</c:v>
                </c:pt>
                <c:pt idx="32">
                  <c:v>98636407.290000007</c:v>
                </c:pt>
                <c:pt idx="33">
                  <c:v>2419607092.0900002</c:v>
                </c:pt>
                <c:pt idx="34">
                  <c:v>66615595.420000002</c:v>
                </c:pt>
                <c:pt idx="35">
                  <c:v>449904.14</c:v>
                </c:pt>
                <c:pt idx="36">
                  <c:v>11061690.720000001</c:v>
                </c:pt>
                <c:pt idx="37">
                  <c:v>3733599.92</c:v>
                </c:pt>
                <c:pt idx="38">
                  <c:v>18612406.359999999</c:v>
                </c:pt>
                <c:pt idx="39">
                  <c:v>34820322.289999999</c:v>
                </c:pt>
                <c:pt idx="40">
                  <c:v>5603283.7199999997</c:v>
                </c:pt>
                <c:pt idx="41">
                  <c:v>15469975.310000001</c:v>
                </c:pt>
                <c:pt idx="42">
                  <c:v>187704391.63</c:v>
                </c:pt>
                <c:pt idx="43">
                  <c:v>115774658.75</c:v>
                </c:pt>
                <c:pt idx="44">
                  <c:v>8575241</c:v>
                </c:pt>
                <c:pt idx="45">
                  <c:v>714511.27</c:v>
                </c:pt>
                <c:pt idx="46">
                  <c:v>25719477.579999998</c:v>
                </c:pt>
                <c:pt idx="47">
                  <c:v>25064370.93</c:v>
                </c:pt>
                <c:pt idx="48">
                  <c:v>12861289.34</c:v>
                </c:pt>
                <c:pt idx="49">
                  <c:v>1211491.76</c:v>
                </c:pt>
                <c:pt idx="50">
                  <c:v>364390.13</c:v>
                </c:pt>
                <c:pt idx="51">
                  <c:v>25773935.949999999</c:v>
                </c:pt>
                <c:pt idx="52">
                  <c:v>1840828.18</c:v>
                </c:pt>
                <c:pt idx="53">
                  <c:v>2119389.86</c:v>
                </c:pt>
                <c:pt idx="54">
                  <c:v>81407267.799999997</c:v>
                </c:pt>
                <c:pt idx="55">
                  <c:v>683817002.75999999</c:v>
                </c:pt>
                <c:pt idx="56">
                  <c:v>3039269.67</c:v>
                </c:pt>
                <c:pt idx="57">
                  <c:v>12432700.470000001</c:v>
                </c:pt>
                <c:pt idx="58">
                  <c:v>1353626272.54</c:v>
                </c:pt>
                <c:pt idx="59">
                  <c:v>24059892.82</c:v>
                </c:pt>
                <c:pt idx="60">
                  <c:v>72209036.25</c:v>
                </c:pt>
                <c:pt idx="61">
                  <c:v>361180.03</c:v>
                </c:pt>
                <c:pt idx="62">
                  <c:v>23291790.260000002</c:v>
                </c:pt>
                <c:pt idx="63">
                  <c:v>6298034.46</c:v>
                </c:pt>
                <c:pt idx="64">
                  <c:v>594585.14</c:v>
                </c:pt>
                <c:pt idx="65">
                  <c:v>3290866.83</c:v>
                </c:pt>
                <c:pt idx="66">
                  <c:v>4750130.46</c:v>
                </c:pt>
                <c:pt idx="67">
                  <c:v>15639011.58</c:v>
                </c:pt>
                <c:pt idx="68">
                  <c:v>135105889.81999999</c:v>
                </c:pt>
                <c:pt idx="69">
                  <c:v>10693241.050000001</c:v>
                </c:pt>
                <c:pt idx="70">
                  <c:v>501730633.41000003</c:v>
                </c:pt>
                <c:pt idx="71">
                  <c:v>202125597.34</c:v>
                </c:pt>
                <c:pt idx="72">
                  <c:v>57670287.020000003</c:v>
                </c:pt>
                <c:pt idx="73">
                  <c:v>100144839.53</c:v>
                </c:pt>
                <c:pt idx="74">
                  <c:v>116918781.20999999</c:v>
                </c:pt>
                <c:pt idx="75">
                  <c:v>541322556.98000002</c:v>
                </c:pt>
                <c:pt idx="76">
                  <c:v>5336113.7</c:v>
                </c:pt>
                <c:pt idx="77">
                  <c:v>704318189.04999995</c:v>
                </c:pt>
                <c:pt idx="78">
                  <c:v>25586379.059999999</c:v>
                </c:pt>
                <c:pt idx="79">
                  <c:v>54558408.450000003</c:v>
                </c:pt>
                <c:pt idx="80">
                  <c:v>24886099.460000001</c:v>
                </c:pt>
                <c:pt idx="81">
                  <c:v>172149.37</c:v>
                </c:pt>
                <c:pt idx="82">
                  <c:v>599607208.15999997</c:v>
                </c:pt>
                <c:pt idx="83">
                  <c:v>41825145.560000002</c:v>
                </c:pt>
                <c:pt idx="84">
                  <c:v>25931764.469999999</c:v>
                </c:pt>
                <c:pt idx="85">
                  <c:v>20240124.34</c:v>
                </c:pt>
                <c:pt idx="86">
                  <c:v>1614549.36</c:v>
                </c:pt>
                <c:pt idx="87">
                  <c:v>18444756.539999999</c:v>
                </c:pt>
                <c:pt idx="88">
                  <c:v>24681327.890000001</c:v>
                </c:pt>
                <c:pt idx="89">
                  <c:v>40923728.890000001</c:v>
                </c:pt>
                <c:pt idx="90">
                  <c:v>29529665.52</c:v>
                </c:pt>
                <c:pt idx="91">
                  <c:v>4261222.63</c:v>
                </c:pt>
                <c:pt idx="92">
                  <c:v>1780692.79</c:v>
                </c:pt>
                <c:pt idx="93">
                  <c:v>269840936.93000001</c:v>
                </c:pt>
                <c:pt idx="94">
                  <c:v>2713587.44</c:v>
                </c:pt>
                <c:pt idx="95">
                  <c:v>6117296.25</c:v>
                </c:pt>
                <c:pt idx="96">
                  <c:v>21411733.16</c:v>
                </c:pt>
                <c:pt idx="97">
                  <c:v>16427288.33</c:v>
                </c:pt>
                <c:pt idx="98">
                  <c:v>4587551.47</c:v>
                </c:pt>
                <c:pt idx="99">
                  <c:v>5342370.67</c:v>
                </c:pt>
                <c:pt idx="100">
                  <c:v>510446816.12</c:v>
                </c:pt>
                <c:pt idx="101">
                  <c:v>11171686.73</c:v>
                </c:pt>
                <c:pt idx="102">
                  <c:v>6894926.71</c:v>
                </c:pt>
                <c:pt idx="103">
                  <c:v>4596217.25</c:v>
                </c:pt>
                <c:pt idx="104">
                  <c:v>81145206.140000001</c:v>
                </c:pt>
                <c:pt idx="105">
                  <c:v>18276924.399999999</c:v>
                </c:pt>
                <c:pt idx="106">
                  <c:v>23714433</c:v>
                </c:pt>
                <c:pt idx="107">
                  <c:v>6961463.6799999997</c:v>
                </c:pt>
                <c:pt idx="108">
                  <c:v>110097.58</c:v>
                </c:pt>
                <c:pt idx="109">
                  <c:v>13437485</c:v>
                </c:pt>
                <c:pt idx="110">
                  <c:v>699721383.80999994</c:v>
                </c:pt>
                <c:pt idx="111">
                  <c:v>49928447.969999999</c:v>
                </c:pt>
                <c:pt idx="112">
                  <c:v>7499399.2999999998</c:v>
                </c:pt>
                <c:pt idx="113">
                  <c:v>2182991.5299999998</c:v>
                </c:pt>
                <c:pt idx="114">
                  <c:v>71524943.069999993</c:v>
                </c:pt>
                <c:pt idx="115">
                  <c:v>17577149.890000001</c:v>
                </c:pt>
                <c:pt idx="116">
                  <c:v>155577307.55000001</c:v>
                </c:pt>
                <c:pt idx="117">
                  <c:v>32956954.559999999</c:v>
                </c:pt>
                <c:pt idx="118">
                  <c:v>72875923.260000005</c:v>
                </c:pt>
                <c:pt idx="119">
                  <c:v>135453.13</c:v>
                </c:pt>
                <c:pt idx="120">
                  <c:v>47818372.93</c:v>
                </c:pt>
                <c:pt idx="121">
                  <c:v>4385492.07</c:v>
                </c:pt>
                <c:pt idx="122">
                  <c:v>11782055.93</c:v>
                </c:pt>
                <c:pt idx="123">
                  <c:v>50828364.649999999</c:v>
                </c:pt>
                <c:pt idx="124">
                  <c:v>160694229.05000001</c:v>
                </c:pt>
                <c:pt idx="125">
                  <c:v>347416542.22000003</c:v>
                </c:pt>
                <c:pt idx="126">
                  <c:v>94093227.590000004</c:v>
                </c:pt>
                <c:pt idx="127">
                  <c:v>39425790.640000001</c:v>
                </c:pt>
                <c:pt idx="128">
                  <c:v>110204789.13</c:v>
                </c:pt>
                <c:pt idx="129">
                  <c:v>2578028.36</c:v>
                </c:pt>
                <c:pt idx="130">
                  <c:v>424488.18</c:v>
                </c:pt>
                <c:pt idx="131">
                  <c:v>808959.29</c:v>
                </c:pt>
                <c:pt idx="132">
                  <c:v>211799.66</c:v>
                </c:pt>
                <c:pt idx="133">
                  <c:v>173994994.38</c:v>
                </c:pt>
                <c:pt idx="134">
                  <c:v>18305116.32</c:v>
                </c:pt>
                <c:pt idx="135">
                  <c:v>977788.85</c:v>
                </c:pt>
                <c:pt idx="136">
                  <c:v>1924181.1</c:v>
                </c:pt>
                <c:pt idx="137">
                  <c:v>366827604.72000003</c:v>
                </c:pt>
                <c:pt idx="138">
                  <c:v>55272481.990000002</c:v>
                </c:pt>
                <c:pt idx="139">
                  <c:v>485871.84</c:v>
                </c:pt>
                <c:pt idx="140">
                  <c:v>5249637.4000000004</c:v>
                </c:pt>
                <c:pt idx="141">
                  <c:v>119580111.09999999</c:v>
                </c:pt>
                <c:pt idx="142">
                  <c:v>936088.77</c:v>
                </c:pt>
                <c:pt idx="143">
                  <c:v>381128434.5</c:v>
                </c:pt>
                <c:pt idx="144">
                  <c:v>20752701.77</c:v>
                </c:pt>
                <c:pt idx="145">
                  <c:v>309629.53999999998</c:v>
                </c:pt>
                <c:pt idx="146">
                  <c:v>3626471.16</c:v>
                </c:pt>
                <c:pt idx="147">
                  <c:v>568836.9</c:v>
                </c:pt>
                <c:pt idx="148">
                  <c:v>9597674.8800000008</c:v>
                </c:pt>
                <c:pt idx="149">
                  <c:v>1818645.44</c:v>
                </c:pt>
                <c:pt idx="150">
                  <c:v>168148413.62</c:v>
                </c:pt>
                <c:pt idx="151">
                  <c:v>506450948.04000002</c:v>
                </c:pt>
                <c:pt idx="152">
                  <c:v>5106637.5599999996</c:v>
                </c:pt>
                <c:pt idx="153">
                  <c:v>18365344.100000001</c:v>
                </c:pt>
                <c:pt idx="154">
                  <c:v>254099887.41</c:v>
                </c:pt>
                <c:pt idx="155">
                  <c:v>15459931.560000001</c:v>
                </c:pt>
                <c:pt idx="156">
                  <c:v>236483.74</c:v>
                </c:pt>
                <c:pt idx="157">
                  <c:v>6307026.1600000001</c:v>
                </c:pt>
                <c:pt idx="158">
                  <c:v>34481744.899999999</c:v>
                </c:pt>
                <c:pt idx="159">
                  <c:v>330886757</c:v>
                </c:pt>
                <c:pt idx="160">
                  <c:v>5251422.43</c:v>
                </c:pt>
                <c:pt idx="161">
                  <c:v>169502.57</c:v>
                </c:pt>
                <c:pt idx="162">
                  <c:v>6524047.5800000001</c:v>
                </c:pt>
                <c:pt idx="163">
                  <c:v>99221760.719999999</c:v>
                </c:pt>
                <c:pt idx="164">
                  <c:v>269772885.44999999</c:v>
                </c:pt>
                <c:pt idx="165">
                  <c:v>1010705115.15</c:v>
                </c:pt>
                <c:pt idx="166">
                  <c:v>3291674759.3800001</c:v>
                </c:pt>
                <c:pt idx="167">
                  <c:v>15304615.550000001</c:v>
                </c:pt>
                <c:pt idx="168">
                  <c:v>25792818.059999999</c:v>
                </c:pt>
                <c:pt idx="169">
                  <c:v>404860.99</c:v>
                </c:pt>
                <c:pt idx="170">
                  <c:v>8045060.4500000002</c:v>
                </c:pt>
                <c:pt idx="171">
                  <c:v>357022783.48000002</c:v>
                </c:pt>
                <c:pt idx="172">
                  <c:v>13578010.130000001</c:v>
                </c:pt>
                <c:pt idx="173">
                  <c:v>7876466.9000000004</c:v>
                </c:pt>
                <c:pt idx="174">
                  <c:v>5566423.9000000004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2-40A0-9C19-7702CBD9F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021183"/>
        <c:axId val="1478015423"/>
      </c:scatterChart>
      <c:valAx>
        <c:axId val="147802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015423"/>
        <c:crosses val="autoZero"/>
        <c:crossBetween val="midCat"/>
      </c:valAx>
      <c:valAx>
        <c:axId val="147801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02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Criminality vs Import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Import (US$ Thousand)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Sheet1!$D$2:$D$176</c:f>
              <c:numCache>
                <c:formatCode>General</c:formatCode>
                <c:ptCount val="175"/>
                <c:pt idx="0">
                  <c:v>7.08</c:v>
                </c:pt>
                <c:pt idx="1">
                  <c:v>5.63</c:v>
                </c:pt>
                <c:pt idx="2">
                  <c:v>4.51</c:v>
                </c:pt>
                <c:pt idx="3">
                  <c:v>2.96</c:v>
                </c:pt>
                <c:pt idx="4">
                  <c:v>5.29</c:v>
                </c:pt>
                <c:pt idx="5">
                  <c:v>3.34</c:v>
                </c:pt>
                <c:pt idx="6">
                  <c:v>4.38</c:v>
                </c:pt>
                <c:pt idx="7">
                  <c:v>3.26</c:v>
                </c:pt>
                <c:pt idx="8">
                  <c:v>4</c:v>
                </c:pt>
                <c:pt idx="9">
                  <c:v>4.04</c:v>
                </c:pt>
                <c:pt idx="10">
                  <c:v>5.08</c:v>
                </c:pt>
                <c:pt idx="11">
                  <c:v>4.83</c:v>
                </c:pt>
                <c:pt idx="12">
                  <c:v>4.9800000000000004</c:v>
                </c:pt>
                <c:pt idx="13">
                  <c:v>3.21</c:v>
                </c:pt>
                <c:pt idx="14">
                  <c:v>5.08</c:v>
                </c:pt>
                <c:pt idx="15">
                  <c:v>4.34</c:v>
                </c:pt>
                <c:pt idx="16">
                  <c:v>4.6399999999999997</c:v>
                </c:pt>
                <c:pt idx="17">
                  <c:v>5.25</c:v>
                </c:pt>
                <c:pt idx="18">
                  <c:v>3.69</c:v>
                </c:pt>
                <c:pt idx="19">
                  <c:v>4.3</c:v>
                </c:pt>
                <c:pt idx="20">
                  <c:v>5.89</c:v>
                </c:pt>
                <c:pt idx="21">
                  <c:v>3.71</c:v>
                </c:pt>
                <c:pt idx="22">
                  <c:v>6.5</c:v>
                </c:pt>
                <c:pt idx="23">
                  <c:v>2.76</c:v>
                </c:pt>
                <c:pt idx="24">
                  <c:v>5.43</c:v>
                </c:pt>
                <c:pt idx="25">
                  <c:v>5.49</c:v>
                </c:pt>
                <c:pt idx="26">
                  <c:v>4.51</c:v>
                </c:pt>
                <c:pt idx="27">
                  <c:v>5.83</c:v>
                </c:pt>
                <c:pt idx="28">
                  <c:v>6.31</c:v>
                </c:pt>
                <c:pt idx="29">
                  <c:v>3.66</c:v>
                </c:pt>
                <c:pt idx="30">
                  <c:v>7.04</c:v>
                </c:pt>
                <c:pt idx="31">
                  <c:v>5.86</c:v>
                </c:pt>
                <c:pt idx="32">
                  <c:v>4.5999999999999996</c:v>
                </c:pt>
                <c:pt idx="33">
                  <c:v>6.01</c:v>
                </c:pt>
                <c:pt idx="34">
                  <c:v>7.66</c:v>
                </c:pt>
                <c:pt idx="35">
                  <c:v>3.86</c:v>
                </c:pt>
                <c:pt idx="36">
                  <c:v>7.75</c:v>
                </c:pt>
                <c:pt idx="37">
                  <c:v>5.03</c:v>
                </c:pt>
                <c:pt idx="38">
                  <c:v>4.99</c:v>
                </c:pt>
                <c:pt idx="39">
                  <c:v>5.0599999999999996</c:v>
                </c:pt>
                <c:pt idx="40">
                  <c:v>3.44</c:v>
                </c:pt>
                <c:pt idx="41">
                  <c:v>4.1900000000000004</c:v>
                </c:pt>
                <c:pt idx="42">
                  <c:v>4.63</c:v>
                </c:pt>
                <c:pt idx="43">
                  <c:v>3.86</c:v>
                </c:pt>
                <c:pt idx="44">
                  <c:v>3.99</c:v>
                </c:pt>
                <c:pt idx="45">
                  <c:v>2.63</c:v>
                </c:pt>
                <c:pt idx="46">
                  <c:v>5.15</c:v>
                </c:pt>
                <c:pt idx="47">
                  <c:v>6.25</c:v>
                </c:pt>
                <c:pt idx="48">
                  <c:v>5.94</c:v>
                </c:pt>
                <c:pt idx="49">
                  <c:v>4.1100000000000003</c:v>
                </c:pt>
                <c:pt idx="50">
                  <c:v>4.34</c:v>
                </c:pt>
                <c:pt idx="51">
                  <c:v>3.6</c:v>
                </c:pt>
                <c:pt idx="52">
                  <c:v>3.63</c:v>
                </c:pt>
                <c:pt idx="53">
                  <c:v>3.9</c:v>
                </c:pt>
                <c:pt idx="54">
                  <c:v>2.71</c:v>
                </c:pt>
                <c:pt idx="55">
                  <c:v>5.66</c:v>
                </c:pt>
                <c:pt idx="56">
                  <c:v>4.9000000000000004</c:v>
                </c:pt>
                <c:pt idx="57">
                  <c:v>2.96</c:v>
                </c:pt>
                <c:pt idx="58">
                  <c:v>4.9000000000000004</c:v>
                </c:pt>
                <c:pt idx="59">
                  <c:v>6.01</c:v>
                </c:pt>
                <c:pt idx="60">
                  <c:v>4.93</c:v>
                </c:pt>
                <c:pt idx="61">
                  <c:v>3.05</c:v>
                </c:pt>
                <c:pt idx="62">
                  <c:v>6.48</c:v>
                </c:pt>
                <c:pt idx="63">
                  <c:v>5.2</c:v>
                </c:pt>
                <c:pt idx="64">
                  <c:v>5.45</c:v>
                </c:pt>
                <c:pt idx="65">
                  <c:v>5.0999999999999996</c:v>
                </c:pt>
                <c:pt idx="66">
                  <c:v>5.73</c:v>
                </c:pt>
                <c:pt idx="67">
                  <c:v>6.98</c:v>
                </c:pt>
                <c:pt idx="68">
                  <c:v>4.5</c:v>
                </c:pt>
                <c:pt idx="69">
                  <c:v>3.39</c:v>
                </c:pt>
                <c:pt idx="70">
                  <c:v>5.53</c:v>
                </c:pt>
                <c:pt idx="71">
                  <c:v>6.38</c:v>
                </c:pt>
                <c:pt idx="72">
                  <c:v>7.05</c:v>
                </c:pt>
                <c:pt idx="73">
                  <c:v>4.9000000000000004</c:v>
                </c:pt>
                <c:pt idx="74">
                  <c:v>4.41</c:v>
                </c:pt>
                <c:pt idx="75">
                  <c:v>5.81</c:v>
                </c:pt>
                <c:pt idx="76">
                  <c:v>5.91</c:v>
                </c:pt>
                <c:pt idx="77">
                  <c:v>4.53</c:v>
                </c:pt>
                <c:pt idx="78">
                  <c:v>4.71</c:v>
                </c:pt>
                <c:pt idx="79">
                  <c:v>4.26</c:v>
                </c:pt>
                <c:pt idx="80">
                  <c:v>6.95</c:v>
                </c:pt>
                <c:pt idx="81">
                  <c:v>2.35</c:v>
                </c:pt>
                <c:pt idx="82">
                  <c:v>4.91</c:v>
                </c:pt>
                <c:pt idx="83">
                  <c:v>5.14</c:v>
                </c:pt>
                <c:pt idx="84">
                  <c:v>3.51</c:v>
                </c:pt>
                <c:pt idx="85">
                  <c:v>6.76</c:v>
                </c:pt>
                <c:pt idx="86">
                  <c:v>3.9</c:v>
                </c:pt>
                <c:pt idx="87">
                  <c:v>5.05</c:v>
                </c:pt>
                <c:pt idx="88">
                  <c:v>6.55</c:v>
                </c:pt>
                <c:pt idx="89">
                  <c:v>3.31</c:v>
                </c:pt>
                <c:pt idx="90">
                  <c:v>2.36</c:v>
                </c:pt>
                <c:pt idx="91">
                  <c:v>5.59</c:v>
                </c:pt>
                <c:pt idx="92">
                  <c:v>3.83</c:v>
                </c:pt>
                <c:pt idx="93">
                  <c:v>5.94</c:v>
                </c:pt>
                <c:pt idx="94">
                  <c:v>4.0599999999999996</c:v>
                </c:pt>
                <c:pt idx="95">
                  <c:v>5.89</c:v>
                </c:pt>
                <c:pt idx="96">
                  <c:v>4.6500000000000004</c:v>
                </c:pt>
                <c:pt idx="97">
                  <c:v>2.31</c:v>
                </c:pt>
                <c:pt idx="98">
                  <c:v>4.38</c:v>
                </c:pt>
                <c:pt idx="99">
                  <c:v>4.51</c:v>
                </c:pt>
                <c:pt idx="100">
                  <c:v>7.56</c:v>
                </c:pt>
                <c:pt idx="101">
                  <c:v>4.45</c:v>
                </c:pt>
                <c:pt idx="102">
                  <c:v>4.01</c:v>
                </c:pt>
                <c:pt idx="103">
                  <c:v>6</c:v>
                </c:pt>
                <c:pt idx="104">
                  <c:v>4.79</c:v>
                </c:pt>
                <c:pt idx="105">
                  <c:v>6.53</c:v>
                </c:pt>
                <c:pt idx="106">
                  <c:v>7.59</c:v>
                </c:pt>
                <c:pt idx="107">
                  <c:v>4.33</c:v>
                </c:pt>
                <c:pt idx="108">
                  <c:v>1.76</c:v>
                </c:pt>
                <c:pt idx="109">
                  <c:v>6.16</c:v>
                </c:pt>
                <c:pt idx="110">
                  <c:v>4.6900000000000004</c:v>
                </c:pt>
                <c:pt idx="111">
                  <c:v>3.25</c:v>
                </c:pt>
                <c:pt idx="112">
                  <c:v>6.06</c:v>
                </c:pt>
                <c:pt idx="113">
                  <c:v>6.01</c:v>
                </c:pt>
                <c:pt idx="114">
                  <c:v>7.15</c:v>
                </c:pt>
                <c:pt idx="115">
                  <c:v>5.31</c:v>
                </c:pt>
                <c:pt idx="116">
                  <c:v>3.81</c:v>
                </c:pt>
                <c:pt idx="117">
                  <c:v>4.1399999999999997</c:v>
                </c:pt>
                <c:pt idx="118">
                  <c:v>6.28</c:v>
                </c:pt>
                <c:pt idx="119">
                  <c:v>2.94</c:v>
                </c:pt>
                <c:pt idx="120">
                  <c:v>6.68</c:v>
                </c:pt>
                <c:pt idx="121">
                  <c:v>5.44</c:v>
                </c:pt>
                <c:pt idx="122">
                  <c:v>6.7</c:v>
                </c:pt>
                <c:pt idx="123">
                  <c:v>6.35</c:v>
                </c:pt>
                <c:pt idx="124">
                  <c:v>6.84</c:v>
                </c:pt>
                <c:pt idx="125">
                  <c:v>4.01</c:v>
                </c:pt>
                <c:pt idx="126">
                  <c:v>4.55</c:v>
                </c:pt>
                <c:pt idx="127">
                  <c:v>5.21</c:v>
                </c:pt>
                <c:pt idx="128">
                  <c:v>4.59</c:v>
                </c:pt>
                <c:pt idx="129">
                  <c:v>3.68</c:v>
                </c:pt>
                <c:pt idx="130">
                  <c:v>2.04</c:v>
                </c:pt>
                <c:pt idx="131">
                  <c:v>3.01</c:v>
                </c:pt>
                <c:pt idx="132">
                  <c:v>1.78</c:v>
                </c:pt>
                <c:pt idx="133">
                  <c:v>6.01</c:v>
                </c:pt>
                <c:pt idx="134">
                  <c:v>4.8099999999999996</c:v>
                </c:pt>
                <c:pt idx="135">
                  <c:v>3.68</c:v>
                </c:pt>
                <c:pt idx="136">
                  <c:v>5.4</c:v>
                </c:pt>
                <c:pt idx="137">
                  <c:v>3.13</c:v>
                </c:pt>
                <c:pt idx="138">
                  <c:v>4.29</c:v>
                </c:pt>
                <c:pt idx="139">
                  <c:v>4.1500000000000004</c:v>
                </c:pt>
                <c:pt idx="140">
                  <c:v>5.79</c:v>
                </c:pt>
                <c:pt idx="141">
                  <c:v>6.63</c:v>
                </c:pt>
                <c:pt idx="142">
                  <c:v>6.34</c:v>
                </c:pt>
                <c:pt idx="143">
                  <c:v>5.78</c:v>
                </c:pt>
                <c:pt idx="144">
                  <c:v>4.6399999999999997</c:v>
                </c:pt>
                <c:pt idx="145">
                  <c:v>4.0999999999999996</c:v>
                </c:pt>
                <c:pt idx="146">
                  <c:v>4.09</c:v>
                </c:pt>
                <c:pt idx="147">
                  <c:v>3.3</c:v>
                </c:pt>
                <c:pt idx="148">
                  <c:v>6.46</c:v>
                </c:pt>
                <c:pt idx="149">
                  <c:v>4.9000000000000004</c:v>
                </c:pt>
                <c:pt idx="150">
                  <c:v>4.5599999999999996</c:v>
                </c:pt>
                <c:pt idx="151">
                  <c:v>4.34</c:v>
                </c:pt>
                <c:pt idx="152">
                  <c:v>5.61</c:v>
                </c:pt>
                <c:pt idx="153">
                  <c:v>6.15</c:v>
                </c:pt>
                <c:pt idx="154">
                  <c:v>5.76</c:v>
                </c:pt>
                <c:pt idx="155">
                  <c:v>5.33</c:v>
                </c:pt>
                <c:pt idx="156">
                  <c:v>3.78</c:v>
                </c:pt>
                <c:pt idx="157">
                  <c:v>4.9400000000000004</c:v>
                </c:pt>
                <c:pt idx="158">
                  <c:v>3.79</c:v>
                </c:pt>
                <c:pt idx="159">
                  <c:v>6.89</c:v>
                </c:pt>
                <c:pt idx="160">
                  <c:v>4.6100000000000003</c:v>
                </c:pt>
                <c:pt idx="161">
                  <c:v>1.54</c:v>
                </c:pt>
                <c:pt idx="162">
                  <c:v>6.14</c:v>
                </c:pt>
                <c:pt idx="163">
                  <c:v>6.18</c:v>
                </c:pt>
                <c:pt idx="164">
                  <c:v>5.75</c:v>
                </c:pt>
                <c:pt idx="165">
                  <c:v>4.8899999999999997</c:v>
                </c:pt>
                <c:pt idx="166">
                  <c:v>5.5</c:v>
                </c:pt>
                <c:pt idx="167">
                  <c:v>2.69</c:v>
                </c:pt>
                <c:pt idx="168">
                  <c:v>4.96</c:v>
                </c:pt>
                <c:pt idx="169">
                  <c:v>2.2000000000000002</c:v>
                </c:pt>
                <c:pt idx="170">
                  <c:v>6.64</c:v>
                </c:pt>
                <c:pt idx="171">
                  <c:v>6.28</c:v>
                </c:pt>
                <c:pt idx="172">
                  <c:v>6.13</c:v>
                </c:pt>
                <c:pt idx="173">
                  <c:v>4.93</c:v>
                </c:pt>
                <c:pt idx="174">
                  <c:v>5.66</c:v>
                </c:pt>
              </c:numCache>
            </c:numRef>
          </c:xVal>
          <c:yVal>
            <c:numRef>
              <c:f>Sheet1!$F$2:$F$176</c:f>
              <c:numCache>
                <c:formatCode>General</c:formatCode>
                <c:ptCount val="175"/>
                <c:pt idx="0">
                  <c:v>1964683.49</c:v>
                </c:pt>
                <c:pt idx="1">
                  <c:v>3659914.42</c:v>
                </c:pt>
                <c:pt idx="2">
                  <c:v>38739387.280000001</c:v>
                </c:pt>
                <c:pt idx="3">
                  <c:v>112690.53</c:v>
                </c:pt>
                <c:pt idx="4">
                  <c:v>33551533.93</c:v>
                </c:pt>
                <c:pt idx="5">
                  <c:v>249075.42</c:v>
                </c:pt>
                <c:pt idx="6">
                  <c:v>79164554.819999993</c:v>
                </c:pt>
                <c:pt idx="7">
                  <c:v>3088285.4</c:v>
                </c:pt>
                <c:pt idx="8">
                  <c:v>374899439.38999999</c:v>
                </c:pt>
                <c:pt idx="9">
                  <c:v>192165929.16</c:v>
                </c:pt>
                <c:pt idx="10">
                  <c:v>22114982.579999998</c:v>
                </c:pt>
                <c:pt idx="11">
                  <c:v>16405097.539999999</c:v>
                </c:pt>
                <c:pt idx="12">
                  <c:v>53147978.240000002</c:v>
                </c:pt>
                <c:pt idx="13">
                  <c:v>280739.28000000003</c:v>
                </c:pt>
                <c:pt idx="14">
                  <c:v>33571732.359999999</c:v>
                </c:pt>
                <c:pt idx="15">
                  <c:v>431548547.95999998</c:v>
                </c:pt>
                <c:pt idx="16">
                  <c:v>371241.3</c:v>
                </c:pt>
                <c:pt idx="17">
                  <c:v>1649829.65</c:v>
                </c:pt>
                <c:pt idx="18">
                  <c:v>369856.12</c:v>
                </c:pt>
                <c:pt idx="19">
                  <c:v>10571616.439999999</c:v>
                </c:pt>
                <c:pt idx="20">
                  <c:v>8872835.6099999994</c:v>
                </c:pt>
                <c:pt idx="21">
                  <c:v>5915412.0099999998</c:v>
                </c:pt>
                <c:pt idx="22">
                  <c:v>313645918.42000002</c:v>
                </c:pt>
                <c:pt idx="23">
                  <c:v>10458199.960000001</c:v>
                </c:pt>
                <c:pt idx="24">
                  <c:v>42712622.030000001</c:v>
                </c:pt>
                <c:pt idx="25">
                  <c:v>4412474.7699999996</c:v>
                </c:pt>
                <c:pt idx="26">
                  <c:v>125702.04</c:v>
                </c:pt>
                <c:pt idx="27">
                  <c:v>29706982.66</c:v>
                </c:pt>
                <c:pt idx="28">
                  <c:v>5446285.7199999997</c:v>
                </c:pt>
                <c:pt idx="29">
                  <c:v>515729589.94</c:v>
                </c:pt>
                <c:pt idx="30">
                  <c:v>130266.7</c:v>
                </c:pt>
                <c:pt idx="31">
                  <c:v>2982369.85</c:v>
                </c:pt>
                <c:pt idx="32">
                  <c:v>100664759.23999999</c:v>
                </c:pt>
                <c:pt idx="33">
                  <c:v>3383435785.3400002</c:v>
                </c:pt>
                <c:pt idx="34">
                  <c:v>45804724.700000003</c:v>
                </c:pt>
                <c:pt idx="35">
                  <c:v>63256.72</c:v>
                </c:pt>
                <c:pt idx="36">
                  <c:v>17960833.789999999</c:v>
                </c:pt>
                <c:pt idx="37">
                  <c:v>10523734.550000001</c:v>
                </c:pt>
                <c:pt idx="38">
                  <c:v>21934564.66</c:v>
                </c:pt>
                <c:pt idx="39">
                  <c:v>19128880.550000001</c:v>
                </c:pt>
                <c:pt idx="40">
                  <c:v>1729506.27</c:v>
                </c:pt>
                <c:pt idx="41">
                  <c:v>4005555.31</c:v>
                </c:pt>
                <c:pt idx="42">
                  <c:v>194826922.03999999</c:v>
                </c:pt>
                <c:pt idx="43">
                  <c:v>112597864.05</c:v>
                </c:pt>
                <c:pt idx="44">
                  <c:v>385980.41</c:v>
                </c:pt>
                <c:pt idx="45">
                  <c:v>33776.53</c:v>
                </c:pt>
                <c:pt idx="46">
                  <c:v>11617077.67</c:v>
                </c:pt>
                <c:pt idx="47">
                  <c:v>29349485.640000001</c:v>
                </c:pt>
                <c:pt idx="48">
                  <c:v>6500987.7300000004</c:v>
                </c:pt>
                <c:pt idx="49">
                  <c:v>5141982.3</c:v>
                </c:pt>
                <c:pt idx="50">
                  <c:v>669873.94999999995</c:v>
                </c:pt>
                <c:pt idx="51">
                  <c:v>18604298.219999999</c:v>
                </c:pt>
                <c:pt idx="52">
                  <c:v>2374871.16</c:v>
                </c:pt>
                <c:pt idx="53">
                  <c:v>715307.46</c:v>
                </c:pt>
                <c:pt idx="54">
                  <c:v>82913195.799999997</c:v>
                </c:pt>
                <c:pt idx="55">
                  <c:v>590012728.69000006</c:v>
                </c:pt>
                <c:pt idx="56">
                  <c:v>6772742.6799999997</c:v>
                </c:pt>
                <c:pt idx="57">
                  <c:v>3792121.32</c:v>
                </c:pt>
                <c:pt idx="58">
                  <c:v>1538830199.2</c:v>
                </c:pt>
                <c:pt idx="59">
                  <c:v>14913179.99</c:v>
                </c:pt>
                <c:pt idx="60">
                  <c:v>40665213.259999998</c:v>
                </c:pt>
                <c:pt idx="61">
                  <c:v>36735.19</c:v>
                </c:pt>
                <c:pt idx="62">
                  <c:v>13938931.810000001</c:v>
                </c:pt>
                <c:pt idx="63">
                  <c:v>10107445.130000001</c:v>
                </c:pt>
                <c:pt idx="64">
                  <c:v>180044.75</c:v>
                </c:pt>
                <c:pt idx="65">
                  <c:v>4200046.32</c:v>
                </c:pt>
                <c:pt idx="66">
                  <c:v>1385191.63</c:v>
                </c:pt>
                <c:pt idx="67">
                  <c:v>11039118.539999999</c:v>
                </c:pt>
                <c:pt idx="68">
                  <c:v>134275134.05000001</c:v>
                </c:pt>
                <c:pt idx="69">
                  <c:v>6197077.3600000003</c:v>
                </c:pt>
                <c:pt idx="70">
                  <c:v>372312850.45999998</c:v>
                </c:pt>
                <c:pt idx="71">
                  <c:v>264351623.59</c:v>
                </c:pt>
                <c:pt idx="72">
                  <c:v>91171328.319999993</c:v>
                </c:pt>
                <c:pt idx="73">
                  <c:v>247653488.00999999</c:v>
                </c:pt>
                <c:pt idx="74">
                  <c:v>69776578.959999993</c:v>
                </c:pt>
                <c:pt idx="75">
                  <c:v>611544045.04999995</c:v>
                </c:pt>
                <c:pt idx="76">
                  <c:v>1107797.53</c:v>
                </c:pt>
                <c:pt idx="77">
                  <c:v>850187993.80999994</c:v>
                </c:pt>
                <c:pt idx="78">
                  <c:v>9808091.8000000007</c:v>
                </c:pt>
                <c:pt idx="79">
                  <c:v>59384037.770000003</c:v>
                </c:pt>
                <c:pt idx="80">
                  <c:v>6255228.0199999996</c:v>
                </c:pt>
                <c:pt idx="81">
                  <c:v>102443.44</c:v>
                </c:pt>
                <c:pt idx="82">
                  <c:v>731208977.99000001</c:v>
                </c:pt>
                <c:pt idx="83">
                  <c:v>63953633.450000003</c:v>
                </c:pt>
                <c:pt idx="84">
                  <c:v>17392576.969999999</c:v>
                </c:pt>
                <c:pt idx="85">
                  <c:v>3646837.38</c:v>
                </c:pt>
                <c:pt idx="86">
                  <c:v>1074263.1299999999</c:v>
                </c:pt>
                <c:pt idx="87">
                  <c:v>1717891.97</c:v>
                </c:pt>
                <c:pt idx="88">
                  <c:v>33958278.259999998</c:v>
                </c:pt>
                <c:pt idx="89">
                  <c:v>33713173.299999997</c:v>
                </c:pt>
                <c:pt idx="90">
                  <c:v>19331797.550000001</c:v>
                </c:pt>
                <c:pt idx="91">
                  <c:v>3334517.01</c:v>
                </c:pt>
                <c:pt idx="92">
                  <c:v>996042.85</c:v>
                </c:pt>
                <c:pt idx="93">
                  <c:v>417142772.68000001</c:v>
                </c:pt>
                <c:pt idx="94">
                  <c:v>261326.26</c:v>
                </c:pt>
                <c:pt idx="95">
                  <c:v>9413395.5700000003</c:v>
                </c:pt>
                <c:pt idx="96">
                  <c:v>5556461.2800000003</c:v>
                </c:pt>
                <c:pt idx="97">
                  <c:v>1515999.78</c:v>
                </c:pt>
                <c:pt idx="98">
                  <c:v>3910413.25</c:v>
                </c:pt>
                <c:pt idx="99">
                  <c:v>2312994.75</c:v>
                </c:pt>
                <c:pt idx="100">
                  <c:v>529171620.04000002</c:v>
                </c:pt>
                <c:pt idx="101">
                  <c:v>3959145.55</c:v>
                </c:pt>
                <c:pt idx="102">
                  <c:v>8292901.8799999999</c:v>
                </c:pt>
                <c:pt idx="103">
                  <c:v>727784.91</c:v>
                </c:pt>
                <c:pt idx="104">
                  <c:v>38144192.880000003</c:v>
                </c:pt>
                <c:pt idx="105">
                  <c:v>7398246.96</c:v>
                </c:pt>
                <c:pt idx="106">
                  <c:v>21028569.879999999</c:v>
                </c:pt>
                <c:pt idx="107">
                  <c:v>5191267.5199999996</c:v>
                </c:pt>
                <c:pt idx="108">
                  <c:v>206184.61</c:v>
                </c:pt>
                <c:pt idx="109">
                  <c:v>1653715.14</c:v>
                </c:pt>
                <c:pt idx="110">
                  <c:v>593441055.39999998</c:v>
                </c:pt>
                <c:pt idx="111">
                  <c:v>46316762.07</c:v>
                </c:pt>
                <c:pt idx="112">
                  <c:v>7782218.1799999997</c:v>
                </c:pt>
                <c:pt idx="113">
                  <c:v>3634250.08</c:v>
                </c:pt>
                <c:pt idx="114">
                  <c:v>52749353.619999997</c:v>
                </c:pt>
                <c:pt idx="115">
                  <c:v>9610934.0600000005</c:v>
                </c:pt>
                <c:pt idx="116">
                  <c:v>145335950.93000001</c:v>
                </c:pt>
                <c:pt idx="117">
                  <c:v>59758859.479999997</c:v>
                </c:pt>
                <c:pt idx="118">
                  <c:v>29618546.120000001</c:v>
                </c:pt>
                <c:pt idx="119">
                  <c:v>5678.02</c:v>
                </c:pt>
                <c:pt idx="120">
                  <c:v>7455126.0700000003</c:v>
                </c:pt>
                <c:pt idx="121">
                  <c:v>11965891.380000001</c:v>
                </c:pt>
                <c:pt idx="122">
                  <c:v>10929697.369999999</c:v>
                </c:pt>
                <c:pt idx="123">
                  <c:v>65199125.07</c:v>
                </c:pt>
                <c:pt idx="124">
                  <c:v>108774557.15000001</c:v>
                </c:pt>
                <c:pt idx="125">
                  <c:v>297597904.98000002</c:v>
                </c:pt>
                <c:pt idx="126">
                  <c:v>73565699.379999995</c:v>
                </c:pt>
                <c:pt idx="127">
                  <c:v>83639792.079999998</c:v>
                </c:pt>
                <c:pt idx="128">
                  <c:v>88434887.489999995</c:v>
                </c:pt>
                <c:pt idx="129">
                  <c:v>769436.46</c:v>
                </c:pt>
                <c:pt idx="130">
                  <c:v>41823.67</c:v>
                </c:pt>
                <c:pt idx="131">
                  <c:v>229462.86</c:v>
                </c:pt>
                <c:pt idx="132">
                  <c:v>28764.06</c:v>
                </c:pt>
                <c:pt idx="133">
                  <c:v>252012135.94999999</c:v>
                </c:pt>
                <c:pt idx="134">
                  <c:v>3400026.67</c:v>
                </c:pt>
                <c:pt idx="135">
                  <c:v>966694.66</c:v>
                </c:pt>
                <c:pt idx="136">
                  <c:v>973295.98</c:v>
                </c:pt>
                <c:pt idx="137">
                  <c:v>297256085.20999998</c:v>
                </c:pt>
                <c:pt idx="138">
                  <c:v>42934183.409999996</c:v>
                </c:pt>
                <c:pt idx="139">
                  <c:v>533805.39</c:v>
                </c:pt>
                <c:pt idx="140">
                  <c:v>505627.11</c:v>
                </c:pt>
                <c:pt idx="141">
                  <c:v>160980172.43000001</c:v>
                </c:pt>
                <c:pt idx="142">
                  <c:v>567495.82999999996</c:v>
                </c:pt>
                <c:pt idx="143">
                  <c:v>361348321.25</c:v>
                </c:pt>
                <c:pt idx="144">
                  <c:v>13054215.310000001</c:v>
                </c:pt>
                <c:pt idx="145">
                  <c:v>71163.73</c:v>
                </c:pt>
                <c:pt idx="146">
                  <c:v>3066614.33</c:v>
                </c:pt>
                <c:pt idx="147">
                  <c:v>121615.62</c:v>
                </c:pt>
                <c:pt idx="148">
                  <c:v>5447466.8899999997</c:v>
                </c:pt>
                <c:pt idx="149">
                  <c:v>2217099.21</c:v>
                </c:pt>
                <c:pt idx="150">
                  <c:v>179311040.86000001</c:v>
                </c:pt>
                <c:pt idx="151">
                  <c:v>388342418.48000002</c:v>
                </c:pt>
                <c:pt idx="152">
                  <c:v>1513165.23</c:v>
                </c:pt>
                <c:pt idx="153">
                  <c:v>7399362</c:v>
                </c:pt>
                <c:pt idx="154">
                  <c:v>320261003.24000001</c:v>
                </c:pt>
                <c:pt idx="155">
                  <c:v>3569384.44</c:v>
                </c:pt>
                <c:pt idx="156">
                  <c:v>16166.67</c:v>
                </c:pt>
                <c:pt idx="157">
                  <c:v>11265757.84</c:v>
                </c:pt>
                <c:pt idx="158">
                  <c:v>17268855.460000001</c:v>
                </c:pt>
                <c:pt idx="159">
                  <c:v>213611436.72999999</c:v>
                </c:pt>
                <c:pt idx="160">
                  <c:v>8182033.0199999996</c:v>
                </c:pt>
                <c:pt idx="161">
                  <c:v>132705.99</c:v>
                </c:pt>
                <c:pt idx="162">
                  <c:v>3720399</c:v>
                </c:pt>
                <c:pt idx="163">
                  <c:v>72144636.659999996</c:v>
                </c:pt>
                <c:pt idx="164">
                  <c:v>243714415.84999999</c:v>
                </c:pt>
                <c:pt idx="165">
                  <c:v>411203957.18000001</c:v>
                </c:pt>
                <c:pt idx="166">
                  <c:v>1703893334.8699999</c:v>
                </c:pt>
                <c:pt idx="167">
                  <c:v>11773500.310000001</c:v>
                </c:pt>
                <c:pt idx="168">
                  <c:v>13081868.33</c:v>
                </c:pt>
                <c:pt idx="169">
                  <c:v>285467.90999999997</c:v>
                </c:pt>
                <c:pt idx="170">
                  <c:v>3610306.16</c:v>
                </c:pt>
                <c:pt idx="171">
                  <c:v>420575524.82999998</c:v>
                </c:pt>
                <c:pt idx="172">
                  <c:v>2186875.7400000002</c:v>
                </c:pt>
                <c:pt idx="173">
                  <c:v>9737229.4600000009</c:v>
                </c:pt>
                <c:pt idx="174">
                  <c:v>4333975.75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8-4D91-8821-5FD8F61D6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018303"/>
        <c:axId val="1478017823"/>
      </c:scatterChart>
      <c:valAx>
        <c:axId val="147801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017823"/>
        <c:crosses val="autoZero"/>
        <c:crossBetween val="midCat"/>
      </c:valAx>
      <c:valAx>
        <c:axId val="14780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018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Criminality vs GDP Per Capita </a:t>
            </a:r>
          </a:p>
        </c:rich>
      </c:tx>
      <c:layout>
        <c:manualLayout>
          <c:xMode val="edge"/>
          <c:yMode val="edge"/>
          <c:x val="0.291798556430446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GDP Per Capita (US$)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Sheet1!$D$2:$D$176</c:f>
              <c:numCache>
                <c:formatCode>General</c:formatCode>
                <c:ptCount val="175"/>
                <c:pt idx="0">
                  <c:v>7.08</c:v>
                </c:pt>
                <c:pt idx="1">
                  <c:v>5.63</c:v>
                </c:pt>
                <c:pt idx="2">
                  <c:v>4.51</c:v>
                </c:pt>
                <c:pt idx="3">
                  <c:v>2.96</c:v>
                </c:pt>
                <c:pt idx="4">
                  <c:v>5.29</c:v>
                </c:pt>
                <c:pt idx="5">
                  <c:v>3.34</c:v>
                </c:pt>
                <c:pt idx="6">
                  <c:v>4.38</c:v>
                </c:pt>
                <c:pt idx="7">
                  <c:v>3.26</c:v>
                </c:pt>
                <c:pt idx="8">
                  <c:v>4</c:v>
                </c:pt>
                <c:pt idx="9">
                  <c:v>4.04</c:v>
                </c:pt>
                <c:pt idx="10">
                  <c:v>5.08</c:v>
                </c:pt>
                <c:pt idx="11">
                  <c:v>4.83</c:v>
                </c:pt>
                <c:pt idx="12">
                  <c:v>4.9800000000000004</c:v>
                </c:pt>
                <c:pt idx="13">
                  <c:v>3.21</c:v>
                </c:pt>
                <c:pt idx="14">
                  <c:v>5.08</c:v>
                </c:pt>
                <c:pt idx="15">
                  <c:v>4.34</c:v>
                </c:pt>
                <c:pt idx="16">
                  <c:v>4.6399999999999997</c:v>
                </c:pt>
                <c:pt idx="17">
                  <c:v>5.25</c:v>
                </c:pt>
                <c:pt idx="18">
                  <c:v>3.69</c:v>
                </c:pt>
                <c:pt idx="19">
                  <c:v>4.3</c:v>
                </c:pt>
                <c:pt idx="20">
                  <c:v>5.89</c:v>
                </c:pt>
                <c:pt idx="21">
                  <c:v>3.71</c:v>
                </c:pt>
                <c:pt idx="22">
                  <c:v>6.5</c:v>
                </c:pt>
                <c:pt idx="23">
                  <c:v>2.76</c:v>
                </c:pt>
                <c:pt idx="24">
                  <c:v>5.43</c:v>
                </c:pt>
                <c:pt idx="25">
                  <c:v>5.49</c:v>
                </c:pt>
                <c:pt idx="26">
                  <c:v>4.51</c:v>
                </c:pt>
                <c:pt idx="27">
                  <c:v>5.83</c:v>
                </c:pt>
                <c:pt idx="28">
                  <c:v>6.31</c:v>
                </c:pt>
                <c:pt idx="29">
                  <c:v>3.66</c:v>
                </c:pt>
                <c:pt idx="30">
                  <c:v>7.04</c:v>
                </c:pt>
                <c:pt idx="31">
                  <c:v>5.86</c:v>
                </c:pt>
                <c:pt idx="32">
                  <c:v>4.5999999999999996</c:v>
                </c:pt>
                <c:pt idx="33">
                  <c:v>6.01</c:v>
                </c:pt>
                <c:pt idx="34">
                  <c:v>7.66</c:v>
                </c:pt>
                <c:pt idx="35">
                  <c:v>3.86</c:v>
                </c:pt>
                <c:pt idx="36">
                  <c:v>7.75</c:v>
                </c:pt>
                <c:pt idx="37">
                  <c:v>5.03</c:v>
                </c:pt>
                <c:pt idx="38">
                  <c:v>4.99</c:v>
                </c:pt>
                <c:pt idx="39">
                  <c:v>5.0599999999999996</c:v>
                </c:pt>
                <c:pt idx="40">
                  <c:v>3.44</c:v>
                </c:pt>
                <c:pt idx="41">
                  <c:v>4.1900000000000004</c:v>
                </c:pt>
                <c:pt idx="42">
                  <c:v>4.63</c:v>
                </c:pt>
                <c:pt idx="43">
                  <c:v>3.86</c:v>
                </c:pt>
                <c:pt idx="44">
                  <c:v>3.99</c:v>
                </c:pt>
                <c:pt idx="45">
                  <c:v>2.63</c:v>
                </c:pt>
                <c:pt idx="46">
                  <c:v>5.15</c:v>
                </c:pt>
                <c:pt idx="47">
                  <c:v>6.25</c:v>
                </c:pt>
                <c:pt idx="48">
                  <c:v>5.94</c:v>
                </c:pt>
                <c:pt idx="49">
                  <c:v>4.1100000000000003</c:v>
                </c:pt>
                <c:pt idx="50">
                  <c:v>4.34</c:v>
                </c:pt>
                <c:pt idx="51">
                  <c:v>3.6</c:v>
                </c:pt>
                <c:pt idx="52">
                  <c:v>3.63</c:v>
                </c:pt>
                <c:pt idx="53">
                  <c:v>3.9</c:v>
                </c:pt>
                <c:pt idx="54">
                  <c:v>2.71</c:v>
                </c:pt>
                <c:pt idx="55">
                  <c:v>5.66</c:v>
                </c:pt>
                <c:pt idx="56">
                  <c:v>4.9000000000000004</c:v>
                </c:pt>
                <c:pt idx="57">
                  <c:v>2.96</c:v>
                </c:pt>
                <c:pt idx="58">
                  <c:v>4.9000000000000004</c:v>
                </c:pt>
                <c:pt idx="59">
                  <c:v>6.01</c:v>
                </c:pt>
                <c:pt idx="60">
                  <c:v>4.93</c:v>
                </c:pt>
                <c:pt idx="61">
                  <c:v>3.05</c:v>
                </c:pt>
                <c:pt idx="62">
                  <c:v>6.48</c:v>
                </c:pt>
                <c:pt idx="63">
                  <c:v>5.2</c:v>
                </c:pt>
                <c:pt idx="64">
                  <c:v>5.45</c:v>
                </c:pt>
                <c:pt idx="65">
                  <c:v>5.0999999999999996</c:v>
                </c:pt>
                <c:pt idx="66">
                  <c:v>5.73</c:v>
                </c:pt>
                <c:pt idx="67">
                  <c:v>6.98</c:v>
                </c:pt>
                <c:pt idx="68">
                  <c:v>4.5</c:v>
                </c:pt>
                <c:pt idx="69">
                  <c:v>3.39</c:v>
                </c:pt>
                <c:pt idx="70">
                  <c:v>5.53</c:v>
                </c:pt>
                <c:pt idx="71">
                  <c:v>6.38</c:v>
                </c:pt>
                <c:pt idx="72">
                  <c:v>7.05</c:v>
                </c:pt>
                <c:pt idx="73">
                  <c:v>4.9000000000000004</c:v>
                </c:pt>
                <c:pt idx="74">
                  <c:v>4.41</c:v>
                </c:pt>
                <c:pt idx="75">
                  <c:v>5.81</c:v>
                </c:pt>
                <c:pt idx="76">
                  <c:v>5.91</c:v>
                </c:pt>
                <c:pt idx="77">
                  <c:v>4.53</c:v>
                </c:pt>
                <c:pt idx="78">
                  <c:v>4.71</c:v>
                </c:pt>
                <c:pt idx="79">
                  <c:v>4.26</c:v>
                </c:pt>
                <c:pt idx="80">
                  <c:v>6.95</c:v>
                </c:pt>
                <c:pt idx="81">
                  <c:v>2.35</c:v>
                </c:pt>
                <c:pt idx="82">
                  <c:v>4.91</c:v>
                </c:pt>
                <c:pt idx="83">
                  <c:v>5.14</c:v>
                </c:pt>
                <c:pt idx="84">
                  <c:v>3.51</c:v>
                </c:pt>
                <c:pt idx="85">
                  <c:v>6.76</c:v>
                </c:pt>
                <c:pt idx="86">
                  <c:v>3.9</c:v>
                </c:pt>
                <c:pt idx="87">
                  <c:v>5.05</c:v>
                </c:pt>
                <c:pt idx="88">
                  <c:v>6.55</c:v>
                </c:pt>
                <c:pt idx="89">
                  <c:v>3.31</c:v>
                </c:pt>
                <c:pt idx="90">
                  <c:v>2.36</c:v>
                </c:pt>
                <c:pt idx="91">
                  <c:v>5.59</c:v>
                </c:pt>
                <c:pt idx="92">
                  <c:v>3.83</c:v>
                </c:pt>
                <c:pt idx="93">
                  <c:v>5.94</c:v>
                </c:pt>
                <c:pt idx="94">
                  <c:v>4.0599999999999996</c:v>
                </c:pt>
                <c:pt idx="95">
                  <c:v>5.89</c:v>
                </c:pt>
                <c:pt idx="96">
                  <c:v>4.6500000000000004</c:v>
                </c:pt>
                <c:pt idx="97">
                  <c:v>2.31</c:v>
                </c:pt>
                <c:pt idx="98">
                  <c:v>4.38</c:v>
                </c:pt>
                <c:pt idx="99">
                  <c:v>4.51</c:v>
                </c:pt>
                <c:pt idx="100">
                  <c:v>7.56</c:v>
                </c:pt>
                <c:pt idx="101">
                  <c:v>4.45</c:v>
                </c:pt>
                <c:pt idx="102">
                  <c:v>4.01</c:v>
                </c:pt>
                <c:pt idx="103">
                  <c:v>6</c:v>
                </c:pt>
                <c:pt idx="104">
                  <c:v>4.79</c:v>
                </c:pt>
                <c:pt idx="105">
                  <c:v>6.53</c:v>
                </c:pt>
                <c:pt idx="106">
                  <c:v>7.59</c:v>
                </c:pt>
                <c:pt idx="107">
                  <c:v>4.33</c:v>
                </c:pt>
                <c:pt idx="108">
                  <c:v>1.76</c:v>
                </c:pt>
                <c:pt idx="109">
                  <c:v>6.16</c:v>
                </c:pt>
                <c:pt idx="110">
                  <c:v>4.6900000000000004</c:v>
                </c:pt>
                <c:pt idx="111">
                  <c:v>3.25</c:v>
                </c:pt>
                <c:pt idx="112">
                  <c:v>6.06</c:v>
                </c:pt>
                <c:pt idx="113">
                  <c:v>6.01</c:v>
                </c:pt>
                <c:pt idx="114">
                  <c:v>7.15</c:v>
                </c:pt>
                <c:pt idx="115">
                  <c:v>5.31</c:v>
                </c:pt>
                <c:pt idx="116">
                  <c:v>3.81</c:v>
                </c:pt>
                <c:pt idx="117">
                  <c:v>4.1399999999999997</c:v>
                </c:pt>
                <c:pt idx="118">
                  <c:v>6.28</c:v>
                </c:pt>
                <c:pt idx="119">
                  <c:v>2.94</c:v>
                </c:pt>
                <c:pt idx="120">
                  <c:v>6.68</c:v>
                </c:pt>
                <c:pt idx="121">
                  <c:v>5.44</c:v>
                </c:pt>
                <c:pt idx="122">
                  <c:v>6.7</c:v>
                </c:pt>
                <c:pt idx="123">
                  <c:v>6.35</c:v>
                </c:pt>
                <c:pt idx="124">
                  <c:v>6.84</c:v>
                </c:pt>
                <c:pt idx="125">
                  <c:v>4.01</c:v>
                </c:pt>
                <c:pt idx="126">
                  <c:v>4.55</c:v>
                </c:pt>
                <c:pt idx="127">
                  <c:v>5.21</c:v>
                </c:pt>
                <c:pt idx="128">
                  <c:v>4.59</c:v>
                </c:pt>
                <c:pt idx="129">
                  <c:v>3.68</c:v>
                </c:pt>
                <c:pt idx="130">
                  <c:v>2.04</c:v>
                </c:pt>
                <c:pt idx="131">
                  <c:v>3.01</c:v>
                </c:pt>
                <c:pt idx="132">
                  <c:v>1.78</c:v>
                </c:pt>
                <c:pt idx="133">
                  <c:v>6.01</c:v>
                </c:pt>
                <c:pt idx="134">
                  <c:v>4.8099999999999996</c:v>
                </c:pt>
                <c:pt idx="135">
                  <c:v>3.68</c:v>
                </c:pt>
                <c:pt idx="136">
                  <c:v>5.4</c:v>
                </c:pt>
                <c:pt idx="137">
                  <c:v>3.13</c:v>
                </c:pt>
                <c:pt idx="138">
                  <c:v>4.29</c:v>
                </c:pt>
                <c:pt idx="139">
                  <c:v>4.1500000000000004</c:v>
                </c:pt>
                <c:pt idx="140">
                  <c:v>5.79</c:v>
                </c:pt>
                <c:pt idx="141">
                  <c:v>6.63</c:v>
                </c:pt>
                <c:pt idx="142">
                  <c:v>6.34</c:v>
                </c:pt>
                <c:pt idx="143">
                  <c:v>5.78</c:v>
                </c:pt>
                <c:pt idx="144">
                  <c:v>4.6399999999999997</c:v>
                </c:pt>
                <c:pt idx="145">
                  <c:v>4.0999999999999996</c:v>
                </c:pt>
                <c:pt idx="146">
                  <c:v>4.09</c:v>
                </c:pt>
                <c:pt idx="147">
                  <c:v>3.3</c:v>
                </c:pt>
                <c:pt idx="148">
                  <c:v>6.46</c:v>
                </c:pt>
                <c:pt idx="149">
                  <c:v>4.9000000000000004</c:v>
                </c:pt>
                <c:pt idx="150">
                  <c:v>4.5599999999999996</c:v>
                </c:pt>
                <c:pt idx="151">
                  <c:v>4.34</c:v>
                </c:pt>
                <c:pt idx="152">
                  <c:v>5.61</c:v>
                </c:pt>
                <c:pt idx="153">
                  <c:v>6.15</c:v>
                </c:pt>
                <c:pt idx="154">
                  <c:v>5.76</c:v>
                </c:pt>
                <c:pt idx="155">
                  <c:v>5.33</c:v>
                </c:pt>
                <c:pt idx="156">
                  <c:v>3.78</c:v>
                </c:pt>
                <c:pt idx="157">
                  <c:v>4.9400000000000004</c:v>
                </c:pt>
                <c:pt idx="158">
                  <c:v>3.79</c:v>
                </c:pt>
                <c:pt idx="159">
                  <c:v>6.89</c:v>
                </c:pt>
                <c:pt idx="160">
                  <c:v>4.6100000000000003</c:v>
                </c:pt>
                <c:pt idx="161">
                  <c:v>1.54</c:v>
                </c:pt>
                <c:pt idx="162">
                  <c:v>6.14</c:v>
                </c:pt>
                <c:pt idx="163">
                  <c:v>6.18</c:v>
                </c:pt>
                <c:pt idx="164">
                  <c:v>5.75</c:v>
                </c:pt>
                <c:pt idx="165">
                  <c:v>4.8899999999999997</c:v>
                </c:pt>
                <c:pt idx="166">
                  <c:v>5.5</c:v>
                </c:pt>
                <c:pt idx="167">
                  <c:v>2.69</c:v>
                </c:pt>
                <c:pt idx="168">
                  <c:v>4.96</c:v>
                </c:pt>
                <c:pt idx="169">
                  <c:v>2.2000000000000002</c:v>
                </c:pt>
                <c:pt idx="170">
                  <c:v>6.64</c:v>
                </c:pt>
                <c:pt idx="171">
                  <c:v>6.28</c:v>
                </c:pt>
                <c:pt idx="172">
                  <c:v>6.13</c:v>
                </c:pt>
                <c:pt idx="173">
                  <c:v>4.93</c:v>
                </c:pt>
                <c:pt idx="174">
                  <c:v>5.66</c:v>
                </c:pt>
              </c:numCache>
            </c:numRef>
          </c:xVal>
          <c:yVal>
            <c:numRef>
              <c:f>Sheet1!$G$2:$G$176</c:f>
              <c:numCache>
                <c:formatCode>General</c:formatCode>
                <c:ptCount val="175"/>
                <c:pt idx="0">
                  <c:v>372.55</c:v>
                </c:pt>
                <c:pt idx="1">
                  <c:v>6396.46</c:v>
                </c:pt>
                <c:pt idx="2">
                  <c:v>3700.32</c:v>
                </c:pt>
                <c:pt idx="3">
                  <c:v>42066.04</c:v>
                </c:pt>
                <c:pt idx="4">
                  <c:v>2044.22</c:v>
                </c:pt>
                <c:pt idx="5">
                  <c:v>15245.82</c:v>
                </c:pt>
                <c:pt idx="6">
                  <c:v>10761.08</c:v>
                </c:pt>
                <c:pt idx="7">
                  <c:v>4966.5200000000004</c:v>
                </c:pt>
                <c:pt idx="8">
                  <c:v>66915.86</c:v>
                </c:pt>
                <c:pt idx="9">
                  <c:v>53840.39</c:v>
                </c:pt>
                <c:pt idx="10">
                  <c:v>5296.44</c:v>
                </c:pt>
                <c:pt idx="11">
                  <c:v>26562.97</c:v>
                </c:pt>
                <c:pt idx="12">
                  <c:v>2449.91</c:v>
                </c:pt>
                <c:pt idx="13">
                  <c:v>17225.46</c:v>
                </c:pt>
                <c:pt idx="14">
                  <c:v>7121</c:v>
                </c:pt>
                <c:pt idx="15">
                  <c:v>51165.51</c:v>
                </c:pt>
                <c:pt idx="16">
                  <c:v>6228.7</c:v>
                </c:pt>
                <c:pt idx="17">
                  <c:v>1360.91</c:v>
                </c:pt>
                <c:pt idx="18">
                  <c:v>3062.91</c:v>
                </c:pt>
                <c:pt idx="19">
                  <c:v>3345.2</c:v>
                </c:pt>
                <c:pt idx="20">
                  <c:v>7143.28</c:v>
                </c:pt>
                <c:pt idx="21">
                  <c:v>6805.25</c:v>
                </c:pt>
                <c:pt idx="22">
                  <c:v>7507.16</c:v>
                </c:pt>
                <c:pt idx="23">
                  <c:v>31448.91</c:v>
                </c:pt>
                <c:pt idx="24">
                  <c:v>12207.26</c:v>
                </c:pt>
                <c:pt idx="25">
                  <c:v>893.08</c:v>
                </c:pt>
                <c:pt idx="26">
                  <c:v>310.70999999999998</c:v>
                </c:pt>
                <c:pt idx="27">
                  <c:v>1607.66</c:v>
                </c:pt>
                <c:pt idx="28">
                  <c:v>1668.01</c:v>
                </c:pt>
                <c:pt idx="29">
                  <c:v>52112.06</c:v>
                </c:pt>
                <c:pt idx="30">
                  <c:v>461.36</c:v>
                </c:pt>
                <c:pt idx="31">
                  <c:v>955.17</c:v>
                </c:pt>
                <c:pt idx="32">
                  <c:v>16265.1</c:v>
                </c:pt>
                <c:pt idx="33">
                  <c:v>12437.21</c:v>
                </c:pt>
                <c:pt idx="34">
                  <c:v>6104.14</c:v>
                </c:pt>
                <c:pt idx="35">
                  <c:v>1631.48</c:v>
                </c:pt>
                <c:pt idx="36">
                  <c:v>551.13</c:v>
                </c:pt>
                <c:pt idx="37">
                  <c:v>2200.3200000000002</c:v>
                </c:pt>
                <c:pt idx="38">
                  <c:v>12472.44</c:v>
                </c:pt>
                <c:pt idx="39">
                  <c:v>16983.45</c:v>
                </c:pt>
                <c:pt idx="40">
                  <c:v>11255.28</c:v>
                </c:pt>
                <c:pt idx="41">
                  <c:v>32280.93</c:v>
                </c:pt>
                <c:pt idx="42">
                  <c:v>26808.54</c:v>
                </c:pt>
                <c:pt idx="43">
                  <c:v>68036.72</c:v>
                </c:pt>
                <c:pt idx="44">
                  <c:v>3348.01</c:v>
                </c:pt>
                <c:pt idx="45">
                  <c:v>7570.78</c:v>
                </c:pt>
                <c:pt idx="46">
                  <c:v>8476.75</c:v>
                </c:pt>
                <c:pt idx="47">
                  <c:v>5965.13</c:v>
                </c:pt>
                <c:pt idx="48">
                  <c:v>4551.18</c:v>
                </c:pt>
                <c:pt idx="49">
                  <c:v>7605.45</c:v>
                </c:pt>
                <c:pt idx="50">
                  <c:v>622.98</c:v>
                </c:pt>
                <c:pt idx="51">
                  <c:v>27990.62</c:v>
                </c:pt>
                <c:pt idx="52">
                  <c:v>3968.91</c:v>
                </c:pt>
                <c:pt idx="53">
                  <c:v>4646.54</c:v>
                </c:pt>
                <c:pt idx="54">
                  <c:v>53703.45</c:v>
                </c:pt>
                <c:pt idx="55">
                  <c:v>44229.39</c:v>
                </c:pt>
                <c:pt idx="56">
                  <c:v>7910.85</c:v>
                </c:pt>
                <c:pt idx="57">
                  <c:v>4975.12</c:v>
                </c:pt>
                <c:pt idx="58">
                  <c:v>51073.120000000003</c:v>
                </c:pt>
                <c:pt idx="59">
                  <c:v>2408.63</c:v>
                </c:pt>
                <c:pt idx="60">
                  <c:v>20571.22</c:v>
                </c:pt>
                <c:pt idx="61">
                  <c:v>8950.23</c:v>
                </c:pt>
                <c:pt idx="62">
                  <c:v>4883.21</c:v>
                </c:pt>
                <c:pt idx="63">
                  <c:v>1185.06</c:v>
                </c:pt>
                <c:pt idx="64">
                  <c:v>758.55</c:v>
                </c:pt>
                <c:pt idx="65">
                  <c:v>9998.5499999999993</c:v>
                </c:pt>
                <c:pt idx="66">
                  <c:v>1663.56</c:v>
                </c:pt>
                <c:pt idx="67">
                  <c:v>2771.72</c:v>
                </c:pt>
                <c:pt idx="68">
                  <c:v>18728.32</c:v>
                </c:pt>
                <c:pt idx="69">
                  <c:v>69133.13</c:v>
                </c:pt>
                <c:pt idx="70">
                  <c:v>2274.48</c:v>
                </c:pt>
                <c:pt idx="71">
                  <c:v>4332.71</c:v>
                </c:pt>
                <c:pt idx="72">
                  <c:v>4686.13</c:v>
                </c:pt>
                <c:pt idx="73">
                  <c:v>101108.99</c:v>
                </c:pt>
                <c:pt idx="74">
                  <c:v>54111.02</c:v>
                </c:pt>
                <c:pt idx="75">
                  <c:v>35578.85</c:v>
                </c:pt>
                <c:pt idx="76">
                  <c:v>5183.58</c:v>
                </c:pt>
                <c:pt idx="77">
                  <c:v>39649.93</c:v>
                </c:pt>
                <c:pt idx="78">
                  <c:v>4058.35</c:v>
                </c:pt>
                <c:pt idx="79">
                  <c:v>10054.89</c:v>
                </c:pt>
                <c:pt idx="80">
                  <c:v>2081.8000000000002</c:v>
                </c:pt>
                <c:pt idx="81">
                  <c:v>1764.93</c:v>
                </c:pt>
                <c:pt idx="82">
                  <c:v>34940.410000000003</c:v>
                </c:pt>
                <c:pt idx="83">
                  <c:v>32150.18</c:v>
                </c:pt>
                <c:pt idx="84">
                  <c:v>21267.46</c:v>
                </c:pt>
                <c:pt idx="85">
                  <c:v>6784.8</c:v>
                </c:pt>
                <c:pt idx="86">
                  <c:v>1040.31</c:v>
                </c:pt>
                <c:pt idx="87">
                  <c:v>470.77</c:v>
                </c:pt>
                <c:pt idx="88">
                  <c:v>5791.25</c:v>
                </c:pt>
                <c:pt idx="89">
                  <c:v>23844.13</c:v>
                </c:pt>
                <c:pt idx="90">
                  <c:v>133745.4</c:v>
                </c:pt>
                <c:pt idx="91">
                  <c:v>499.72</c:v>
                </c:pt>
                <c:pt idx="92">
                  <c:v>613.34</c:v>
                </c:pt>
                <c:pt idx="93">
                  <c:v>11100.94</c:v>
                </c:pt>
                <c:pt idx="94">
                  <c:v>10366.290000000001</c:v>
                </c:pt>
                <c:pt idx="95">
                  <c:v>874.55</c:v>
                </c:pt>
                <c:pt idx="96">
                  <c:v>33641.599999999999</c:v>
                </c:pt>
                <c:pt idx="97">
                  <c:v>6111.27</c:v>
                </c:pt>
                <c:pt idx="98">
                  <c:v>2166.04</c:v>
                </c:pt>
                <c:pt idx="99">
                  <c:v>8872.9599999999991</c:v>
                </c:pt>
                <c:pt idx="100">
                  <c:v>10045.68</c:v>
                </c:pt>
                <c:pt idx="101">
                  <c:v>4468.42</c:v>
                </c:pt>
                <c:pt idx="102">
                  <c:v>4509.8599999999997</c:v>
                </c:pt>
                <c:pt idx="103">
                  <c:v>9252.31</c:v>
                </c:pt>
                <c:pt idx="104">
                  <c:v>3853.28</c:v>
                </c:pt>
                <c:pt idx="105">
                  <c:v>491.84</c:v>
                </c:pt>
                <c:pt idx="106">
                  <c:v>1088.93</c:v>
                </c:pt>
                <c:pt idx="107">
                  <c:v>4836.17</c:v>
                </c:pt>
                <c:pt idx="108">
                  <c:v>12390.37</c:v>
                </c:pt>
                <c:pt idx="109">
                  <c:v>1205.5</c:v>
                </c:pt>
                <c:pt idx="110">
                  <c:v>57871.35</c:v>
                </c:pt>
                <c:pt idx="111">
                  <c:v>48823.51</c:v>
                </c:pt>
                <c:pt idx="112">
                  <c:v>2045.53</c:v>
                </c:pt>
                <c:pt idx="113">
                  <c:v>590.63</c:v>
                </c:pt>
                <c:pt idx="114">
                  <c:v>2019.31</c:v>
                </c:pt>
                <c:pt idx="115">
                  <c:v>6599.62</c:v>
                </c:pt>
                <c:pt idx="116">
                  <c:v>89241.71</c:v>
                </c:pt>
                <c:pt idx="117">
                  <c:v>19509.47</c:v>
                </c:pt>
                <c:pt idx="118">
                  <c:v>1480.11</c:v>
                </c:pt>
                <c:pt idx="119">
                  <c:v>12084.13</c:v>
                </c:pt>
                <c:pt idx="120">
                  <c:v>14617.6</c:v>
                </c:pt>
                <c:pt idx="121">
                  <c:v>2672.97</c:v>
                </c:pt>
                <c:pt idx="122">
                  <c:v>6035.14</c:v>
                </c:pt>
                <c:pt idx="123">
                  <c:v>6621.65</c:v>
                </c:pt>
                <c:pt idx="124">
                  <c:v>3460.53</c:v>
                </c:pt>
                <c:pt idx="125">
                  <c:v>17736.419999999998</c:v>
                </c:pt>
                <c:pt idx="126">
                  <c:v>24651.18</c:v>
                </c:pt>
                <c:pt idx="127">
                  <c:v>66798.77</c:v>
                </c:pt>
                <c:pt idx="128">
                  <c:v>14697.75</c:v>
                </c:pt>
                <c:pt idx="129">
                  <c:v>822.32</c:v>
                </c:pt>
                <c:pt idx="130">
                  <c:v>3918.66</c:v>
                </c:pt>
                <c:pt idx="131">
                  <c:v>50425.1</c:v>
                </c:pt>
                <c:pt idx="132">
                  <c:v>2485.8200000000002</c:v>
                </c:pt>
                <c:pt idx="133">
                  <c:v>23185.87</c:v>
                </c:pt>
                <c:pt idx="134">
                  <c:v>1636.88</c:v>
                </c:pt>
                <c:pt idx="135">
                  <c:v>12084.63</c:v>
                </c:pt>
                <c:pt idx="136">
                  <c:v>504.62</c:v>
                </c:pt>
                <c:pt idx="137">
                  <c:v>66821.72</c:v>
                </c:pt>
                <c:pt idx="138">
                  <c:v>29134.799999999999</c:v>
                </c:pt>
                <c:pt idx="139">
                  <c:v>2305.98</c:v>
                </c:pt>
                <c:pt idx="140">
                  <c:v>447</c:v>
                </c:pt>
                <c:pt idx="141">
                  <c:v>7055.06</c:v>
                </c:pt>
                <c:pt idx="142">
                  <c:v>400.44</c:v>
                </c:pt>
                <c:pt idx="143">
                  <c:v>30058.39</c:v>
                </c:pt>
                <c:pt idx="144">
                  <c:v>3918.02</c:v>
                </c:pt>
                <c:pt idx="145">
                  <c:v>18082.689999999999</c:v>
                </c:pt>
                <c:pt idx="146">
                  <c:v>9824.06</c:v>
                </c:pt>
                <c:pt idx="147">
                  <c:v>8440.0300000000007</c:v>
                </c:pt>
                <c:pt idx="148">
                  <c:v>785.58</c:v>
                </c:pt>
                <c:pt idx="149">
                  <c:v>5259.26</c:v>
                </c:pt>
                <c:pt idx="150">
                  <c:v>60729.71</c:v>
                </c:pt>
                <c:pt idx="151">
                  <c:v>93525.37</c:v>
                </c:pt>
                <c:pt idx="152">
                  <c:v>897.05</c:v>
                </c:pt>
                <c:pt idx="153">
                  <c:v>1136.19</c:v>
                </c:pt>
                <c:pt idx="154">
                  <c:v>7066.68</c:v>
                </c:pt>
                <c:pt idx="155">
                  <c:v>943.94</c:v>
                </c:pt>
                <c:pt idx="156">
                  <c:v>4450.53</c:v>
                </c:pt>
                <c:pt idx="157">
                  <c:v>16032.5</c:v>
                </c:pt>
                <c:pt idx="158">
                  <c:v>3807.18</c:v>
                </c:pt>
                <c:pt idx="159">
                  <c:v>9661.23</c:v>
                </c:pt>
                <c:pt idx="160">
                  <c:v>8507.67</c:v>
                </c:pt>
                <c:pt idx="161">
                  <c:v>5370.42</c:v>
                </c:pt>
                <c:pt idx="162">
                  <c:v>930.37</c:v>
                </c:pt>
                <c:pt idx="163">
                  <c:v>4596.3500000000004</c:v>
                </c:pt>
                <c:pt idx="164">
                  <c:v>43295.39</c:v>
                </c:pt>
                <c:pt idx="165">
                  <c:v>46541.760000000002</c:v>
                </c:pt>
                <c:pt idx="166">
                  <c:v>69184.7</c:v>
                </c:pt>
                <c:pt idx="167">
                  <c:v>17312.64</c:v>
                </c:pt>
                <c:pt idx="168">
                  <c:v>2031.57</c:v>
                </c:pt>
                <c:pt idx="169">
                  <c:v>3072.57</c:v>
                </c:pt>
                <c:pt idx="170">
                  <c:v>3965.03</c:v>
                </c:pt>
                <c:pt idx="171">
                  <c:v>3756.49</c:v>
                </c:pt>
                <c:pt idx="172">
                  <c:v>301.58999999999997</c:v>
                </c:pt>
                <c:pt idx="173">
                  <c:v>1094.5</c:v>
                </c:pt>
                <c:pt idx="174">
                  <c:v>1507.99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D-4002-9370-EEA4C445E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102271"/>
        <c:axId val="1302097951"/>
      </c:scatterChart>
      <c:valAx>
        <c:axId val="130210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097951"/>
        <c:crosses val="autoZero"/>
        <c:crossBetween val="midCat"/>
      </c:valAx>
      <c:valAx>
        <c:axId val="130209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02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585177</xdr:colOff>
      <xdr:row>15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97C01-3F07-4928-8D0C-2C4CE07C2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169171</xdr:colOff>
      <xdr:row>0</xdr:row>
      <xdr:rowOff>0</xdr:rowOff>
    </xdr:from>
    <xdr:to>
      <xdr:col>16</xdr:col>
      <xdr:colOff>175521</xdr:colOff>
      <xdr:row>14</xdr:row>
      <xdr:rowOff>180894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FB3D1-18EA-477A-AD96-4082E17DC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472180</xdr:colOff>
      <xdr:row>0</xdr:row>
      <xdr:rowOff>0</xdr:rowOff>
    </xdr:from>
    <xdr:to>
      <xdr:col>24</xdr:col>
      <xdr:colOff>166403</xdr:colOff>
      <xdr:row>14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6FEEF5-50B6-425F-8E11-64E35700D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2"/>
  <sheetViews>
    <sheetView tabSelected="1" topLeftCell="A117" zoomScale="76" zoomScaleNormal="58" workbookViewId="0">
      <selection activeCell="B9" sqref="B9"/>
    </sheetView>
  </sheetViews>
  <sheetFormatPr defaultColWidth="17.7265625" defaultRowHeight="14.5" x14ac:dyDescent="0.35"/>
  <cols>
    <col min="2" max="2" width="28.1796875" style="6" bestFit="1" customWidth="1"/>
    <col min="5" max="5" width="20" customWidth="1"/>
  </cols>
  <sheetData>
    <row r="1" spans="1:11" x14ac:dyDescent="0.35">
      <c r="A1" s="3" t="s">
        <v>193</v>
      </c>
      <c r="B1" s="4" t="s">
        <v>0</v>
      </c>
      <c r="C1" s="2" t="s">
        <v>2</v>
      </c>
      <c r="D1" s="2" t="s">
        <v>1</v>
      </c>
      <c r="E1" s="3" t="s">
        <v>178</v>
      </c>
      <c r="F1" s="3" t="s">
        <v>179</v>
      </c>
      <c r="G1" s="2" t="s">
        <v>3</v>
      </c>
    </row>
    <row r="2" spans="1:11" x14ac:dyDescent="0.35">
      <c r="A2" s="3" t="s">
        <v>187</v>
      </c>
      <c r="B2" s="5" t="s">
        <v>23</v>
      </c>
      <c r="C2" s="1">
        <v>2021</v>
      </c>
      <c r="D2" s="1">
        <v>7.08</v>
      </c>
      <c r="E2" s="1">
        <v>5916036</v>
      </c>
      <c r="F2" s="1">
        <v>1964683.49</v>
      </c>
      <c r="G2" s="1">
        <v>372.55</v>
      </c>
      <c r="H2" s="7" t="s">
        <v>185</v>
      </c>
      <c r="I2" s="7"/>
      <c r="J2" s="7"/>
      <c r="K2">
        <f>CORREL(D2:D176,E2:E176)</f>
        <v>0.10602254668942385</v>
      </c>
    </row>
    <row r="3" spans="1:11" x14ac:dyDescent="0.35">
      <c r="A3" s="3" t="s">
        <v>188</v>
      </c>
      <c r="B3" s="5" t="s">
        <v>132</v>
      </c>
      <c r="C3" s="1">
        <v>2021</v>
      </c>
      <c r="D3" s="1">
        <v>5.63</v>
      </c>
      <c r="E3" s="1">
        <v>12076545.76</v>
      </c>
      <c r="F3" s="1">
        <v>3659914.42</v>
      </c>
      <c r="G3" s="1">
        <v>6396.46</v>
      </c>
      <c r="H3" s="11"/>
      <c r="I3" s="11"/>
      <c r="J3" s="11"/>
    </row>
    <row r="4" spans="1:11" x14ac:dyDescent="0.35">
      <c r="A4" s="3" t="s">
        <v>189</v>
      </c>
      <c r="B4" s="5" t="s">
        <v>29</v>
      </c>
      <c r="C4" s="1">
        <v>2021</v>
      </c>
      <c r="D4" s="1">
        <v>4.51</v>
      </c>
      <c r="E4" s="1">
        <v>51503438.600000001</v>
      </c>
      <c r="F4" s="1">
        <v>38739387.280000001</v>
      </c>
      <c r="G4" s="1">
        <v>3700.32</v>
      </c>
      <c r="H4" s="12"/>
      <c r="I4" s="13"/>
      <c r="J4" s="14"/>
    </row>
    <row r="5" spans="1:11" x14ac:dyDescent="0.35">
      <c r="A5" s="3" t="s">
        <v>188</v>
      </c>
      <c r="B5" s="5" t="s">
        <v>70</v>
      </c>
      <c r="C5" s="1">
        <v>2021</v>
      </c>
      <c r="D5" s="1">
        <v>2.96</v>
      </c>
      <c r="E5" s="1">
        <v>3080441.42</v>
      </c>
      <c r="F5" s="1">
        <v>112690.53</v>
      </c>
      <c r="G5" s="1">
        <v>42066.04</v>
      </c>
      <c r="H5" s="7" t="s">
        <v>184</v>
      </c>
      <c r="I5" s="7"/>
      <c r="J5" s="7"/>
      <c r="K5">
        <f>CORREL(D2:D176,F2:F176)</f>
        <v>0.11610530419347888</v>
      </c>
    </row>
    <row r="6" spans="1:11" x14ac:dyDescent="0.35">
      <c r="A6" s="3" t="s">
        <v>189</v>
      </c>
      <c r="B6" s="5" t="s">
        <v>34</v>
      </c>
      <c r="C6" s="1">
        <v>2021</v>
      </c>
      <c r="D6" s="1">
        <v>5.29</v>
      </c>
      <c r="E6" s="1">
        <v>12653996.539999999</v>
      </c>
      <c r="F6" s="1">
        <v>33551533.93</v>
      </c>
      <c r="G6" s="1">
        <v>2044.22</v>
      </c>
      <c r="H6" s="11"/>
      <c r="I6" s="11"/>
      <c r="J6" s="11"/>
    </row>
    <row r="7" spans="1:11" x14ac:dyDescent="0.35">
      <c r="A7" s="3" t="s">
        <v>190</v>
      </c>
      <c r="B7" s="5" t="s">
        <v>160</v>
      </c>
      <c r="C7" s="1">
        <v>2021</v>
      </c>
      <c r="D7" s="1">
        <v>3.34</v>
      </c>
      <c r="E7" s="1">
        <v>1671451.25</v>
      </c>
      <c r="F7" s="1">
        <v>249075.42</v>
      </c>
      <c r="G7" s="1">
        <v>15245.82</v>
      </c>
      <c r="H7" s="12"/>
      <c r="I7" s="13"/>
      <c r="J7" s="14"/>
    </row>
    <row r="8" spans="1:11" x14ac:dyDescent="0.35">
      <c r="A8" s="3" t="s">
        <v>191</v>
      </c>
      <c r="B8" s="5" t="s">
        <v>121</v>
      </c>
      <c r="C8" s="1">
        <v>2021</v>
      </c>
      <c r="D8" s="1">
        <v>4.38</v>
      </c>
      <c r="E8" s="1">
        <v>65386155.68</v>
      </c>
      <c r="F8" s="1">
        <v>79164554.819999993</v>
      </c>
      <c r="G8" s="1">
        <v>10761.08</v>
      </c>
      <c r="H8" s="7" t="s">
        <v>183</v>
      </c>
      <c r="I8" s="7"/>
      <c r="J8" s="7"/>
      <c r="K8">
        <f>CORREL(D2:D176,G2:G176)</f>
        <v>-0.29354487992401773</v>
      </c>
    </row>
    <row r="9" spans="1:11" x14ac:dyDescent="0.35">
      <c r="A9" s="3" t="s">
        <v>187</v>
      </c>
      <c r="B9" s="5" t="s">
        <v>105</v>
      </c>
      <c r="C9" s="1">
        <v>2021</v>
      </c>
      <c r="D9" s="1">
        <v>3.26</v>
      </c>
      <c r="E9" s="1">
        <v>5013378.9000000004</v>
      </c>
      <c r="F9" s="1">
        <v>3088285.4</v>
      </c>
      <c r="G9" s="1">
        <v>4966.5200000000004</v>
      </c>
      <c r="H9" s="11"/>
      <c r="I9" s="11"/>
      <c r="J9" s="11"/>
    </row>
    <row r="10" spans="1:11" x14ac:dyDescent="0.35">
      <c r="A10" s="3" t="s">
        <v>192</v>
      </c>
      <c r="B10" s="5" t="s">
        <v>186</v>
      </c>
      <c r="C10" s="1">
        <v>2021</v>
      </c>
      <c r="D10" s="1">
        <v>4</v>
      </c>
      <c r="E10" s="1">
        <v>279420552.81999999</v>
      </c>
      <c r="F10" s="1">
        <v>374899439.38999999</v>
      </c>
      <c r="G10" s="1">
        <v>66915.86</v>
      </c>
      <c r="H10" s="12"/>
      <c r="I10" s="13"/>
      <c r="J10" s="14"/>
    </row>
    <row r="11" spans="1:11" x14ac:dyDescent="0.35">
      <c r="A11" s="3" t="s">
        <v>188</v>
      </c>
      <c r="B11" s="5" t="s">
        <v>79</v>
      </c>
      <c r="C11" s="1">
        <v>2021</v>
      </c>
      <c r="D11" s="1">
        <v>4.04</v>
      </c>
      <c r="E11" s="1">
        <v>198504368.65000001</v>
      </c>
      <c r="F11" s="1">
        <v>192165929.16</v>
      </c>
      <c r="G11" s="1">
        <v>53840.39</v>
      </c>
      <c r="H11" s="7" t="s">
        <v>181</v>
      </c>
      <c r="I11" s="7"/>
      <c r="J11" s="7"/>
      <c r="K11">
        <f>_xlfn.COVARIANCE.P(D2:D176,E2:E176)</f>
        <v>49114314.651673749</v>
      </c>
    </row>
    <row r="12" spans="1:11" x14ac:dyDescent="0.35">
      <c r="A12" s="3" t="s">
        <v>187</v>
      </c>
      <c r="B12" s="5" t="s">
        <v>61</v>
      </c>
      <c r="C12" s="1">
        <v>2021</v>
      </c>
      <c r="D12" s="1">
        <v>5.08</v>
      </c>
      <c r="E12" s="1">
        <v>12656531.810000001</v>
      </c>
      <c r="F12" s="1">
        <v>22114982.579999998</v>
      </c>
      <c r="G12" s="1">
        <v>5296.44</v>
      </c>
      <c r="H12" s="11"/>
      <c r="I12" s="11"/>
      <c r="J12" s="11"/>
    </row>
    <row r="13" spans="1:11" x14ac:dyDescent="0.35">
      <c r="A13" s="3" t="s">
        <v>187</v>
      </c>
      <c r="B13" s="5" t="s">
        <v>49</v>
      </c>
      <c r="C13" s="1">
        <v>2021</v>
      </c>
      <c r="D13" s="1">
        <v>4.83</v>
      </c>
      <c r="E13" s="1">
        <v>18033386.039999999</v>
      </c>
      <c r="F13" s="1">
        <v>16405097.539999999</v>
      </c>
      <c r="G13" s="1">
        <v>26562.97</v>
      </c>
      <c r="H13" s="12"/>
      <c r="I13" s="13"/>
      <c r="J13" s="14"/>
    </row>
    <row r="14" spans="1:11" x14ac:dyDescent="0.35">
      <c r="A14" s="3" t="s">
        <v>187</v>
      </c>
      <c r="B14" s="5" t="s">
        <v>104</v>
      </c>
      <c r="C14" s="1">
        <v>2021</v>
      </c>
      <c r="D14" s="1">
        <v>4.9800000000000004</v>
      </c>
      <c r="E14" s="1">
        <v>80568124.280000001</v>
      </c>
      <c r="F14" s="1">
        <v>53147978.240000002</v>
      </c>
      <c r="G14" s="1">
        <v>2449.91</v>
      </c>
      <c r="H14" s="7" t="s">
        <v>180</v>
      </c>
      <c r="I14" s="7"/>
      <c r="J14" s="7"/>
      <c r="K14">
        <f>_xlfn.COVARIANCE.P(D2:D176,F2:F176)</f>
        <v>51022102.628537871</v>
      </c>
    </row>
    <row r="15" spans="1:11" x14ac:dyDescent="0.35">
      <c r="A15" s="3" t="s">
        <v>190</v>
      </c>
      <c r="B15" s="5" t="s">
        <v>153</v>
      </c>
      <c r="C15" s="1">
        <v>2021</v>
      </c>
      <c r="D15" s="1">
        <v>3.21</v>
      </c>
      <c r="E15" s="1">
        <v>2033698.44</v>
      </c>
      <c r="F15" s="1">
        <v>280739.28000000003</v>
      </c>
      <c r="G15" s="1">
        <v>17225.46</v>
      </c>
      <c r="H15" s="11"/>
      <c r="I15" s="11"/>
      <c r="J15" s="11"/>
    </row>
    <row r="16" spans="1:11" x14ac:dyDescent="0.35">
      <c r="A16" s="3" t="s">
        <v>188</v>
      </c>
      <c r="B16" s="5" t="s">
        <v>142</v>
      </c>
      <c r="C16" s="1">
        <v>2021</v>
      </c>
      <c r="D16" s="1">
        <v>5.08</v>
      </c>
      <c r="E16" s="1">
        <v>46327623.82</v>
      </c>
      <c r="F16" s="1">
        <v>33571732.359999999</v>
      </c>
      <c r="G16" s="1">
        <v>7121</v>
      </c>
      <c r="H16" s="12"/>
      <c r="I16" s="13"/>
      <c r="J16" s="14"/>
    </row>
    <row r="17" spans="1:11" x14ac:dyDescent="0.35">
      <c r="A17" s="3" t="s">
        <v>188</v>
      </c>
      <c r="B17" s="5" t="s">
        <v>73</v>
      </c>
      <c r="C17" s="1">
        <v>2021</v>
      </c>
      <c r="D17" s="1">
        <v>4.34</v>
      </c>
      <c r="E17" s="1">
        <v>464825537.13</v>
      </c>
      <c r="F17" s="1">
        <v>431548547.95999998</v>
      </c>
      <c r="G17" s="1">
        <v>51165.51</v>
      </c>
      <c r="H17" s="8" t="s">
        <v>182</v>
      </c>
      <c r="I17" s="9"/>
      <c r="J17" s="10"/>
      <c r="K17">
        <f>_xlfn.COVARIANCE.P(D2:D176,G2:G176)</f>
        <v>-8607.0141085550968</v>
      </c>
    </row>
    <row r="18" spans="1:11" x14ac:dyDescent="0.35">
      <c r="A18" s="3" t="s">
        <v>190</v>
      </c>
      <c r="B18" s="5" t="s">
        <v>114</v>
      </c>
      <c r="C18" s="1">
        <v>2021</v>
      </c>
      <c r="D18" s="1">
        <v>4.6399999999999997</v>
      </c>
      <c r="E18" s="1">
        <v>1437323.04</v>
      </c>
      <c r="F18" s="1">
        <v>371241.3</v>
      </c>
      <c r="G18" s="1">
        <v>6228.7</v>
      </c>
      <c r="H18" s="11"/>
      <c r="I18" s="11"/>
      <c r="J18" s="11"/>
    </row>
    <row r="19" spans="1:11" x14ac:dyDescent="0.35">
      <c r="A19" s="3" t="s">
        <v>189</v>
      </c>
      <c r="B19" s="5" t="s">
        <v>63</v>
      </c>
      <c r="C19" s="1">
        <v>2021</v>
      </c>
      <c r="D19" s="1">
        <v>5.25</v>
      </c>
      <c r="E19" s="1">
        <v>5297109.63</v>
      </c>
      <c r="F19" s="1">
        <v>1649829.65</v>
      </c>
      <c r="G19" s="1">
        <v>1360.91</v>
      </c>
    </row>
    <row r="20" spans="1:11" x14ac:dyDescent="0.35">
      <c r="A20" s="3" t="s">
        <v>187</v>
      </c>
      <c r="B20" s="5" t="s">
        <v>83</v>
      </c>
      <c r="C20" s="1">
        <v>2021</v>
      </c>
      <c r="D20" s="1">
        <v>3.69</v>
      </c>
      <c r="E20" s="1">
        <v>1143520.99</v>
      </c>
      <c r="F20" s="1">
        <v>369856.12</v>
      </c>
      <c r="G20" s="1">
        <v>3062.91</v>
      </c>
    </row>
    <row r="21" spans="1:11" x14ac:dyDescent="0.35">
      <c r="A21" s="3" t="s">
        <v>191</v>
      </c>
      <c r="B21" s="5" t="s">
        <v>21</v>
      </c>
      <c r="C21" s="1">
        <v>2021</v>
      </c>
      <c r="D21" s="1">
        <v>4.3</v>
      </c>
      <c r="E21" s="1">
        <v>7431946.4199999999</v>
      </c>
      <c r="F21" s="1">
        <v>10571616.439999999</v>
      </c>
      <c r="G21" s="1">
        <v>3345.2</v>
      </c>
    </row>
    <row r="22" spans="1:11" x14ac:dyDescent="0.35">
      <c r="A22" s="3" t="s">
        <v>188</v>
      </c>
      <c r="B22" s="5" t="s">
        <v>161</v>
      </c>
      <c r="C22" s="1">
        <v>2021</v>
      </c>
      <c r="D22" s="1">
        <v>5.89</v>
      </c>
      <c r="E22" s="1">
        <v>19007894.829999998</v>
      </c>
      <c r="F22" s="1">
        <v>8872835.6099999994</v>
      </c>
      <c r="G22" s="1">
        <v>7143.28</v>
      </c>
    </row>
    <row r="23" spans="1:11" x14ac:dyDescent="0.35">
      <c r="A23" s="3" t="s">
        <v>189</v>
      </c>
      <c r="B23" s="5" t="s">
        <v>12</v>
      </c>
      <c r="C23" s="1">
        <v>2021</v>
      </c>
      <c r="D23" s="1">
        <v>3.71</v>
      </c>
      <c r="E23" s="1">
        <v>7327565.1900000004</v>
      </c>
      <c r="F23" s="1">
        <v>5915412.0099999998</v>
      </c>
      <c r="G23" s="1">
        <v>6805.25</v>
      </c>
    </row>
    <row r="24" spans="1:11" x14ac:dyDescent="0.35">
      <c r="A24" s="3" t="s">
        <v>191</v>
      </c>
      <c r="B24" s="5" t="s">
        <v>15</v>
      </c>
      <c r="C24" s="1">
        <v>2021</v>
      </c>
      <c r="D24" s="1">
        <v>6.5</v>
      </c>
      <c r="E24" s="1">
        <v>259319343.50999999</v>
      </c>
      <c r="F24" s="1">
        <v>313645918.42000002</v>
      </c>
      <c r="G24" s="1">
        <v>7507.16</v>
      </c>
    </row>
    <row r="25" spans="1:11" x14ac:dyDescent="0.35">
      <c r="A25" s="3" t="s">
        <v>187</v>
      </c>
      <c r="B25" s="5" t="s">
        <v>139</v>
      </c>
      <c r="C25" s="1">
        <v>2021</v>
      </c>
      <c r="D25" s="1">
        <v>2.76</v>
      </c>
      <c r="E25" s="1">
        <v>5952745.8300000001</v>
      </c>
      <c r="F25" s="1">
        <v>10458199.960000001</v>
      </c>
      <c r="G25" s="1">
        <v>31448.91</v>
      </c>
    </row>
    <row r="26" spans="1:11" x14ac:dyDescent="0.35">
      <c r="A26" s="3" t="s">
        <v>188</v>
      </c>
      <c r="B26" s="5" t="s">
        <v>140</v>
      </c>
      <c r="C26" s="1">
        <v>2021</v>
      </c>
      <c r="D26" s="1">
        <v>5.43</v>
      </c>
      <c r="E26" s="1">
        <v>45462924.710000001</v>
      </c>
      <c r="F26" s="1">
        <v>42712622.030000001</v>
      </c>
      <c r="G26" s="1">
        <v>12207.26</v>
      </c>
    </row>
    <row r="27" spans="1:11" x14ac:dyDescent="0.35">
      <c r="A27" s="3" t="s">
        <v>189</v>
      </c>
      <c r="B27" s="5" t="s">
        <v>59</v>
      </c>
      <c r="C27" s="1">
        <v>2021</v>
      </c>
      <c r="D27" s="1">
        <v>5.49</v>
      </c>
      <c r="E27" s="1">
        <v>3767305.57</v>
      </c>
      <c r="F27" s="1">
        <v>4412474.7699999996</v>
      </c>
      <c r="G27" s="1">
        <v>893.08</v>
      </c>
    </row>
    <row r="28" spans="1:11" x14ac:dyDescent="0.35">
      <c r="A28" s="3" t="s">
        <v>189</v>
      </c>
      <c r="B28" s="5" t="s">
        <v>165</v>
      </c>
      <c r="C28" s="1">
        <v>2021</v>
      </c>
      <c r="D28" s="1">
        <v>4.51</v>
      </c>
      <c r="E28" s="1">
        <v>743517.64</v>
      </c>
      <c r="F28" s="1">
        <v>125702.04</v>
      </c>
      <c r="G28" s="1">
        <v>310.70999999999998</v>
      </c>
    </row>
    <row r="29" spans="1:11" x14ac:dyDescent="0.35">
      <c r="A29" s="3" t="s">
        <v>187</v>
      </c>
      <c r="B29" s="5" t="s">
        <v>16</v>
      </c>
      <c r="C29" s="1">
        <v>2021</v>
      </c>
      <c r="D29" s="1">
        <v>5.83</v>
      </c>
      <c r="E29" s="1">
        <v>37816122.969999999</v>
      </c>
      <c r="F29" s="1">
        <v>29706982.66</v>
      </c>
      <c r="G29" s="1">
        <v>1607.66</v>
      </c>
    </row>
    <row r="30" spans="1:11" x14ac:dyDescent="0.35">
      <c r="A30" s="3" t="s">
        <v>189</v>
      </c>
      <c r="B30" s="5" t="s">
        <v>99</v>
      </c>
      <c r="C30" s="1">
        <v>2021</v>
      </c>
      <c r="D30" s="1">
        <v>6.31</v>
      </c>
      <c r="E30" s="1">
        <v>9951558.7699999996</v>
      </c>
      <c r="F30" s="1">
        <v>5446285.7199999997</v>
      </c>
      <c r="G30" s="1">
        <v>1668.01</v>
      </c>
    </row>
    <row r="31" spans="1:11" x14ac:dyDescent="0.35">
      <c r="A31" s="3" t="s">
        <v>190</v>
      </c>
      <c r="B31" s="5" t="s">
        <v>124</v>
      </c>
      <c r="C31" s="1">
        <v>2021</v>
      </c>
      <c r="D31" s="1">
        <v>3.66</v>
      </c>
      <c r="E31" s="1">
        <v>529223309.47000003</v>
      </c>
      <c r="F31" s="1">
        <v>515729589.94</v>
      </c>
      <c r="G31" s="1">
        <v>52112.06</v>
      </c>
    </row>
    <row r="32" spans="1:11" x14ac:dyDescent="0.35">
      <c r="A32" s="3" t="s">
        <v>189</v>
      </c>
      <c r="B32" s="5" t="s">
        <v>166</v>
      </c>
      <c r="C32" s="1">
        <v>2021</v>
      </c>
      <c r="D32" s="1">
        <v>7.04</v>
      </c>
      <c r="E32" s="1">
        <v>406990</v>
      </c>
      <c r="F32" s="1">
        <v>130266.7</v>
      </c>
      <c r="G32" s="1">
        <v>461.36</v>
      </c>
    </row>
    <row r="33" spans="1:7" x14ac:dyDescent="0.35">
      <c r="A33" s="3" t="s">
        <v>189</v>
      </c>
      <c r="B33" s="5" t="s">
        <v>108</v>
      </c>
      <c r="C33" s="1">
        <v>2021</v>
      </c>
      <c r="D33" s="1">
        <v>5.86</v>
      </c>
      <c r="E33" s="1">
        <v>1320752.1599999999</v>
      </c>
      <c r="F33" s="1">
        <v>2982369.85</v>
      </c>
      <c r="G33" s="1">
        <v>955.17</v>
      </c>
    </row>
    <row r="34" spans="1:7" x14ac:dyDescent="0.35">
      <c r="A34" s="3" t="s">
        <v>191</v>
      </c>
      <c r="B34" s="5" t="s">
        <v>137</v>
      </c>
      <c r="C34" s="1">
        <v>2021</v>
      </c>
      <c r="D34" s="1">
        <v>4.5999999999999996</v>
      </c>
      <c r="E34" s="1">
        <v>98636407.290000007</v>
      </c>
      <c r="F34" s="1">
        <v>100664759.23999999</v>
      </c>
      <c r="G34" s="1">
        <v>16265.1</v>
      </c>
    </row>
    <row r="35" spans="1:7" x14ac:dyDescent="0.35">
      <c r="A35" s="3" t="s">
        <v>187</v>
      </c>
      <c r="B35" s="5" t="s">
        <v>82</v>
      </c>
      <c r="C35" s="1">
        <v>2021</v>
      </c>
      <c r="D35" s="1">
        <v>6.01</v>
      </c>
      <c r="E35" s="1">
        <v>2419607092.0900002</v>
      </c>
      <c r="F35" s="1">
        <v>3383435785.3400002</v>
      </c>
      <c r="G35" s="1">
        <v>12437.21</v>
      </c>
    </row>
    <row r="36" spans="1:7" x14ac:dyDescent="0.35">
      <c r="A36" s="3" t="s">
        <v>191</v>
      </c>
      <c r="B36" s="5" t="s">
        <v>6</v>
      </c>
      <c r="C36" s="1">
        <v>2021</v>
      </c>
      <c r="D36" s="1">
        <v>7.66</v>
      </c>
      <c r="E36" s="1">
        <v>66615595.420000002</v>
      </c>
      <c r="F36" s="1">
        <v>45804724.700000003</v>
      </c>
      <c r="G36" s="1">
        <v>6104.14</v>
      </c>
    </row>
    <row r="37" spans="1:7" x14ac:dyDescent="0.35">
      <c r="A37" s="3" t="s">
        <v>189</v>
      </c>
      <c r="B37" s="5" t="s">
        <v>128</v>
      </c>
      <c r="C37" s="1">
        <v>2021</v>
      </c>
      <c r="D37" s="1">
        <v>3.86</v>
      </c>
      <c r="E37" s="1">
        <v>449904.14</v>
      </c>
      <c r="F37" s="1">
        <v>63256.72</v>
      </c>
      <c r="G37" s="1">
        <v>1631.48</v>
      </c>
    </row>
    <row r="38" spans="1:7" x14ac:dyDescent="0.35">
      <c r="A38" s="3" t="s">
        <v>189</v>
      </c>
      <c r="B38" s="5" t="s">
        <v>141</v>
      </c>
      <c r="C38" s="1">
        <v>2021</v>
      </c>
      <c r="D38" s="1">
        <v>7.75</v>
      </c>
      <c r="E38" s="1">
        <v>11061690.720000001</v>
      </c>
      <c r="F38" s="1">
        <v>17960833.789999999</v>
      </c>
      <c r="G38" s="1">
        <v>551.13</v>
      </c>
    </row>
    <row r="39" spans="1:7" x14ac:dyDescent="0.35">
      <c r="A39" s="3" t="s">
        <v>189</v>
      </c>
      <c r="B39" s="5" t="s">
        <v>80</v>
      </c>
      <c r="C39" s="1">
        <v>2021</v>
      </c>
      <c r="D39" s="1">
        <v>5.03</v>
      </c>
      <c r="E39" s="1">
        <v>3733599.92</v>
      </c>
      <c r="F39" s="1">
        <v>10523734.550000001</v>
      </c>
      <c r="G39" s="1">
        <v>2200.3200000000002</v>
      </c>
    </row>
    <row r="40" spans="1:7" x14ac:dyDescent="0.35">
      <c r="A40" s="3" t="s">
        <v>190</v>
      </c>
      <c r="B40" s="5" t="s">
        <v>47</v>
      </c>
      <c r="C40" s="1">
        <v>2021</v>
      </c>
      <c r="D40" s="1">
        <v>4.99</v>
      </c>
      <c r="E40" s="1">
        <v>18612406.359999999</v>
      </c>
      <c r="F40" s="1">
        <v>21934564.66</v>
      </c>
      <c r="G40" s="1">
        <v>12472.44</v>
      </c>
    </row>
    <row r="41" spans="1:7" x14ac:dyDescent="0.35">
      <c r="A41" s="3" t="s">
        <v>188</v>
      </c>
      <c r="B41" s="5" t="s">
        <v>144</v>
      </c>
      <c r="C41" s="1">
        <v>2021</v>
      </c>
      <c r="D41" s="1">
        <v>5.0599999999999996</v>
      </c>
      <c r="E41" s="1">
        <v>34820322.289999999</v>
      </c>
      <c r="F41" s="1">
        <v>19128880.550000001</v>
      </c>
      <c r="G41" s="1">
        <v>16983.45</v>
      </c>
    </row>
    <row r="42" spans="1:7" x14ac:dyDescent="0.35">
      <c r="A42" s="3" t="s">
        <v>190</v>
      </c>
      <c r="B42" s="5" t="s">
        <v>98</v>
      </c>
      <c r="C42" s="1">
        <v>2021</v>
      </c>
      <c r="D42" s="1">
        <v>3.44</v>
      </c>
      <c r="E42" s="1">
        <v>5603283.7199999997</v>
      </c>
      <c r="F42" s="1">
        <v>1729506.27</v>
      </c>
      <c r="G42" s="1">
        <v>11255.28</v>
      </c>
    </row>
    <row r="43" spans="1:7" x14ac:dyDescent="0.35">
      <c r="A43" s="3" t="s">
        <v>188</v>
      </c>
      <c r="B43" s="5" t="s">
        <v>107</v>
      </c>
      <c r="C43" s="1">
        <v>2021</v>
      </c>
      <c r="D43" s="1">
        <v>4.1900000000000004</v>
      </c>
      <c r="E43" s="1">
        <v>15469975.310000001</v>
      </c>
      <c r="F43" s="1">
        <v>4005555.31</v>
      </c>
      <c r="G43" s="1">
        <v>32280.93</v>
      </c>
    </row>
    <row r="44" spans="1:7" x14ac:dyDescent="0.35">
      <c r="A44" s="3" t="s">
        <v>188</v>
      </c>
      <c r="B44" s="5" t="s">
        <v>152</v>
      </c>
      <c r="C44" s="1">
        <v>2021</v>
      </c>
      <c r="D44" s="1">
        <v>4.63</v>
      </c>
      <c r="E44" s="1">
        <v>187704391.63</v>
      </c>
      <c r="F44" s="1">
        <v>194826922.03999999</v>
      </c>
      <c r="G44" s="1">
        <v>26808.54</v>
      </c>
    </row>
    <row r="45" spans="1:7" x14ac:dyDescent="0.35">
      <c r="A45" s="3" t="s">
        <v>188</v>
      </c>
      <c r="B45" s="5" t="s">
        <v>120</v>
      </c>
      <c r="C45" s="1">
        <v>2021</v>
      </c>
      <c r="D45" s="1">
        <v>3.86</v>
      </c>
      <c r="E45" s="1">
        <v>115774658.75</v>
      </c>
      <c r="F45" s="1">
        <v>112597864.05</v>
      </c>
      <c r="G45" s="1">
        <v>68036.72</v>
      </c>
    </row>
    <row r="46" spans="1:7" x14ac:dyDescent="0.35">
      <c r="A46" s="3" t="s">
        <v>189</v>
      </c>
      <c r="B46" s="5" t="s">
        <v>32</v>
      </c>
      <c r="C46" s="1">
        <v>2021</v>
      </c>
      <c r="D46" s="1">
        <v>3.99</v>
      </c>
      <c r="E46" s="1">
        <v>8575241</v>
      </c>
      <c r="F46" s="1">
        <v>385980.41</v>
      </c>
      <c r="G46" s="1">
        <v>3348.01</v>
      </c>
    </row>
    <row r="47" spans="1:7" x14ac:dyDescent="0.35">
      <c r="A47" s="3" t="s">
        <v>190</v>
      </c>
      <c r="B47" s="5" t="s">
        <v>177</v>
      </c>
      <c r="C47" s="1">
        <v>2021</v>
      </c>
      <c r="D47" s="1">
        <v>2.63</v>
      </c>
      <c r="E47" s="1">
        <v>714511.27</v>
      </c>
      <c r="F47" s="1">
        <v>33776.53</v>
      </c>
      <c r="G47" s="1">
        <v>7570.78</v>
      </c>
    </row>
    <row r="48" spans="1:7" x14ac:dyDescent="0.35">
      <c r="A48" s="3" t="s">
        <v>190</v>
      </c>
      <c r="B48" s="5" t="s">
        <v>87</v>
      </c>
      <c r="C48" s="1">
        <v>2021</v>
      </c>
      <c r="D48" s="1">
        <v>5.15</v>
      </c>
      <c r="E48" s="1">
        <v>25719477.579999998</v>
      </c>
      <c r="F48" s="1">
        <v>11617077.67</v>
      </c>
      <c r="G48" s="1">
        <v>8476.75</v>
      </c>
    </row>
    <row r="49" spans="1:7" x14ac:dyDescent="0.35">
      <c r="A49" s="3" t="s">
        <v>191</v>
      </c>
      <c r="B49" s="5" t="s">
        <v>46</v>
      </c>
      <c r="C49" s="1">
        <v>2021</v>
      </c>
      <c r="D49" s="1">
        <v>6.25</v>
      </c>
      <c r="E49" s="1">
        <v>25064370.93</v>
      </c>
      <c r="F49" s="1">
        <v>29349485.640000001</v>
      </c>
      <c r="G49" s="1">
        <v>5965.13</v>
      </c>
    </row>
    <row r="50" spans="1:7" x14ac:dyDescent="0.35">
      <c r="A50" s="3" t="s">
        <v>190</v>
      </c>
      <c r="B50" s="5" t="s">
        <v>155</v>
      </c>
      <c r="C50" s="1">
        <v>2021</v>
      </c>
      <c r="D50" s="1">
        <v>5.94</v>
      </c>
      <c r="E50" s="1">
        <v>12861289.34</v>
      </c>
      <c r="F50" s="1">
        <v>6500987.7300000004</v>
      </c>
      <c r="G50" s="1">
        <v>4551.18</v>
      </c>
    </row>
    <row r="51" spans="1:7" x14ac:dyDescent="0.35">
      <c r="A51" s="3" t="s">
        <v>189</v>
      </c>
      <c r="B51" s="5" t="s">
        <v>146</v>
      </c>
      <c r="C51" s="1">
        <v>2021</v>
      </c>
      <c r="D51" s="1">
        <v>4.1100000000000003</v>
      </c>
      <c r="E51" s="1">
        <v>1211491.76</v>
      </c>
      <c r="F51" s="1">
        <v>5141982.3</v>
      </c>
      <c r="G51" s="1">
        <v>7605.45</v>
      </c>
    </row>
    <row r="52" spans="1:7" x14ac:dyDescent="0.35">
      <c r="A52" s="3" t="s">
        <v>189</v>
      </c>
      <c r="B52" s="5" t="s">
        <v>135</v>
      </c>
      <c r="C52" s="1">
        <v>2021</v>
      </c>
      <c r="D52" s="1">
        <v>4.34</v>
      </c>
      <c r="E52" s="1">
        <v>364390.13</v>
      </c>
      <c r="F52" s="1">
        <v>669873.94999999995</v>
      </c>
      <c r="G52" s="1">
        <v>622.98</v>
      </c>
    </row>
    <row r="53" spans="1:7" x14ac:dyDescent="0.35">
      <c r="A53" s="3" t="s">
        <v>188</v>
      </c>
      <c r="B53" s="5" t="s">
        <v>117</v>
      </c>
      <c r="C53" s="1">
        <v>2021</v>
      </c>
      <c r="D53" s="1">
        <v>3.6</v>
      </c>
      <c r="E53" s="1">
        <v>25773935.949999999</v>
      </c>
      <c r="F53" s="1">
        <v>18604298.219999999</v>
      </c>
      <c r="G53" s="1">
        <v>27990.62</v>
      </c>
    </row>
    <row r="54" spans="1:7" x14ac:dyDescent="0.35">
      <c r="A54" s="3" t="s">
        <v>189</v>
      </c>
      <c r="B54" s="5" t="s">
        <v>88</v>
      </c>
      <c r="C54" s="1">
        <v>2021</v>
      </c>
      <c r="D54" s="1">
        <v>3.63</v>
      </c>
      <c r="E54" s="1">
        <v>1840828.18</v>
      </c>
      <c r="F54" s="1">
        <v>2374871.16</v>
      </c>
      <c r="G54" s="1">
        <v>3968.91</v>
      </c>
    </row>
    <row r="55" spans="1:7" x14ac:dyDescent="0.35">
      <c r="A55" s="3" t="s">
        <v>192</v>
      </c>
      <c r="B55" s="5" t="s">
        <v>138</v>
      </c>
      <c r="C55" s="1">
        <v>2021</v>
      </c>
      <c r="D55" s="1">
        <v>3.9</v>
      </c>
      <c r="E55" s="1">
        <v>2119389.86</v>
      </c>
      <c r="F55" s="1">
        <v>715307.46</v>
      </c>
      <c r="G55" s="1">
        <v>4646.54</v>
      </c>
    </row>
    <row r="56" spans="1:7" x14ac:dyDescent="0.35">
      <c r="A56" s="3" t="s">
        <v>188</v>
      </c>
      <c r="B56" s="5" t="s">
        <v>125</v>
      </c>
      <c r="C56" s="1">
        <v>2021</v>
      </c>
      <c r="D56" s="1">
        <v>2.71</v>
      </c>
      <c r="E56" s="1">
        <v>81407267.799999997</v>
      </c>
      <c r="F56" s="1">
        <v>82913195.799999997</v>
      </c>
      <c r="G56" s="1">
        <v>53703.45</v>
      </c>
    </row>
    <row r="57" spans="1:7" x14ac:dyDescent="0.35">
      <c r="A57" s="3" t="s">
        <v>188</v>
      </c>
      <c r="B57" s="5" t="s">
        <v>68</v>
      </c>
      <c r="C57" s="1">
        <v>2021</v>
      </c>
      <c r="D57" s="1">
        <v>5.66</v>
      </c>
      <c r="E57" s="1">
        <v>683817002.75999999</v>
      </c>
      <c r="F57" s="1">
        <v>590012728.69000006</v>
      </c>
      <c r="G57" s="1">
        <v>44229.39</v>
      </c>
    </row>
    <row r="58" spans="1:7" x14ac:dyDescent="0.35">
      <c r="A58" s="3" t="s">
        <v>189</v>
      </c>
      <c r="B58" s="5" t="s">
        <v>95</v>
      </c>
      <c r="C58" s="1">
        <v>2021</v>
      </c>
      <c r="D58" s="1">
        <v>4.9000000000000004</v>
      </c>
      <c r="E58" s="1">
        <v>3039269.67</v>
      </c>
      <c r="F58" s="1">
        <v>6772742.6799999997</v>
      </c>
      <c r="G58" s="1">
        <v>7910.85</v>
      </c>
    </row>
    <row r="59" spans="1:7" x14ac:dyDescent="0.35">
      <c r="A59" s="3" t="s">
        <v>187</v>
      </c>
      <c r="B59" s="5" t="s">
        <v>119</v>
      </c>
      <c r="C59" s="1">
        <v>2021</v>
      </c>
      <c r="D59" s="1">
        <v>2.96</v>
      </c>
      <c r="E59" s="1">
        <v>12432700.470000001</v>
      </c>
      <c r="F59" s="1">
        <v>3792121.32</v>
      </c>
      <c r="G59" s="1">
        <v>4975.12</v>
      </c>
    </row>
    <row r="60" spans="1:7" x14ac:dyDescent="0.35">
      <c r="A60" s="3" t="s">
        <v>188</v>
      </c>
      <c r="B60" s="5" t="s">
        <v>77</v>
      </c>
      <c r="C60" s="1">
        <v>2021</v>
      </c>
      <c r="D60" s="1">
        <v>4.9000000000000004</v>
      </c>
      <c r="E60" s="1">
        <v>1353626272.54</v>
      </c>
      <c r="F60" s="1">
        <v>1538830199.2</v>
      </c>
      <c r="G60" s="1">
        <v>51073.120000000003</v>
      </c>
    </row>
    <row r="61" spans="1:7" x14ac:dyDescent="0.35">
      <c r="A61" s="3" t="s">
        <v>189</v>
      </c>
      <c r="B61" s="5" t="s">
        <v>20</v>
      </c>
      <c r="C61" s="1">
        <v>2021</v>
      </c>
      <c r="D61" s="1">
        <v>6.01</v>
      </c>
      <c r="E61" s="1">
        <v>24059892.82</v>
      </c>
      <c r="F61" s="1">
        <v>14913179.99</v>
      </c>
      <c r="G61" s="1">
        <v>2408.63</v>
      </c>
    </row>
    <row r="62" spans="1:7" x14ac:dyDescent="0.35">
      <c r="A62" s="3" t="s">
        <v>188</v>
      </c>
      <c r="B62" s="5" t="s">
        <v>97</v>
      </c>
      <c r="C62" s="1">
        <v>2021</v>
      </c>
      <c r="D62" s="1">
        <v>4.93</v>
      </c>
      <c r="E62" s="1">
        <v>72209036.25</v>
      </c>
      <c r="F62" s="1">
        <v>40665213.259999998</v>
      </c>
      <c r="G62" s="1">
        <v>20571.22</v>
      </c>
    </row>
    <row r="63" spans="1:7" x14ac:dyDescent="0.35">
      <c r="A63" s="3" t="s">
        <v>190</v>
      </c>
      <c r="B63" s="5" t="s">
        <v>126</v>
      </c>
      <c r="C63" s="1">
        <v>2021</v>
      </c>
      <c r="D63" s="1">
        <v>3.05</v>
      </c>
      <c r="E63" s="1">
        <v>361180.03</v>
      </c>
      <c r="F63" s="1">
        <v>36735.19</v>
      </c>
      <c r="G63" s="1">
        <v>8950.23</v>
      </c>
    </row>
    <row r="64" spans="1:7" x14ac:dyDescent="0.35">
      <c r="A64" s="3" t="s">
        <v>190</v>
      </c>
      <c r="B64" s="5" t="s">
        <v>131</v>
      </c>
      <c r="C64" s="1">
        <v>2021</v>
      </c>
      <c r="D64" s="1">
        <v>6.48</v>
      </c>
      <c r="E64" s="1">
        <v>23291790.260000002</v>
      </c>
      <c r="F64" s="1">
        <v>13938931.810000001</v>
      </c>
      <c r="G64" s="1">
        <v>4883.21</v>
      </c>
    </row>
    <row r="65" spans="1:7" x14ac:dyDescent="0.35">
      <c r="A65" s="3" t="s">
        <v>189</v>
      </c>
      <c r="B65" s="5" t="s">
        <v>102</v>
      </c>
      <c r="C65" s="1">
        <v>2021</v>
      </c>
      <c r="D65" s="1">
        <v>5.2</v>
      </c>
      <c r="E65" s="1">
        <v>6298034.46</v>
      </c>
      <c r="F65" s="1">
        <v>10107445.130000001</v>
      </c>
      <c r="G65" s="1">
        <v>1185.06</v>
      </c>
    </row>
    <row r="66" spans="1:7" x14ac:dyDescent="0.35">
      <c r="A66" s="3" t="s">
        <v>189</v>
      </c>
      <c r="B66" s="5" t="s">
        <v>111</v>
      </c>
      <c r="C66" s="1">
        <v>2021</v>
      </c>
      <c r="D66" s="1">
        <v>5.45</v>
      </c>
      <c r="E66" s="1">
        <v>594585.14</v>
      </c>
      <c r="F66" s="1">
        <v>180044.75</v>
      </c>
      <c r="G66" s="1">
        <v>758.55</v>
      </c>
    </row>
    <row r="67" spans="1:7" x14ac:dyDescent="0.35">
      <c r="A67" s="3" t="s">
        <v>191</v>
      </c>
      <c r="B67" s="5" t="s">
        <v>13</v>
      </c>
      <c r="C67" s="1">
        <v>2021</v>
      </c>
      <c r="D67" s="1">
        <v>5.0999999999999996</v>
      </c>
      <c r="E67" s="1">
        <v>3290866.83</v>
      </c>
      <c r="F67" s="1">
        <v>4200046.32</v>
      </c>
      <c r="G67" s="1">
        <v>9998.5499999999993</v>
      </c>
    </row>
    <row r="68" spans="1:7" x14ac:dyDescent="0.35">
      <c r="A68" s="3" t="s">
        <v>190</v>
      </c>
      <c r="B68" s="5" t="s">
        <v>60</v>
      </c>
      <c r="C68" s="1">
        <v>2021</v>
      </c>
      <c r="D68" s="1">
        <v>5.73</v>
      </c>
      <c r="E68" s="1">
        <v>4750130.46</v>
      </c>
      <c r="F68" s="1">
        <v>1385191.63</v>
      </c>
      <c r="G68" s="1">
        <v>1663.56</v>
      </c>
    </row>
    <row r="69" spans="1:7" x14ac:dyDescent="0.35">
      <c r="A69" s="3" t="s">
        <v>190</v>
      </c>
      <c r="B69" s="5" t="s">
        <v>75</v>
      </c>
      <c r="C69" s="1">
        <v>2021</v>
      </c>
      <c r="D69" s="1">
        <v>6.98</v>
      </c>
      <c r="E69" s="1">
        <v>15639011.58</v>
      </c>
      <c r="F69" s="1">
        <v>11039118.539999999</v>
      </c>
      <c r="G69" s="1">
        <v>2771.72</v>
      </c>
    </row>
    <row r="70" spans="1:7" x14ac:dyDescent="0.35">
      <c r="A70" s="3" t="s">
        <v>188</v>
      </c>
      <c r="B70" s="5" t="s">
        <v>149</v>
      </c>
      <c r="C70" s="1">
        <v>2021</v>
      </c>
      <c r="D70" s="1">
        <v>4.5</v>
      </c>
      <c r="E70" s="1">
        <v>135105889.81999999</v>
      </c>
      <c r="F70" s="1">
        <v>134275134.05000001</v>
      </c>
      <c r="G70" s="1">
        <v>18728.32</v>
      </c>
    </row>
    <row r="71" spans="1:7" x14ac:dyDescent="0.35">
      <c r="A71" s="3" t="s">
        <v>188</v>
      </c>
      <c r="B71" s="5" t="s">
        <v>127</v>
      </c>
      <c r="C71" s="1">
        <v>2021</v>
      </c>
      <c r="D71" s="1">
        <v>3.39</v>
      </c>
      <c r="E71" s="1">
        <v>10693241.050000001</v>
      </c>
      <c r="F71" s="1">
        <v>6197077.3600000003</v>
      </c>
      <c r="G71" s="1">
        <v>69133.13</v>
      </c>
    </row>
    <row r="72" spans="1:7" x14ac:dyDescent="0.35">
      <c r="A72" s="3" t="s">
        <v>187</v>
      </c>
      <c r="B72" s="5" t="s">
        <v>33</v>
      </c>
      <c r="C72" s="1">
        <v>2021</v>
      </c>
      <c r="D72" s="1">
        <v>5.53</v>
      </c>
      <c r="E72" s="1">
        <v>501730633.41000003</v>
      </c>
      <c r="F72" s="1">
        <v>372312850.45999998</v>
      </c>
      <c r="G72" s="1">
        <v>2274.48</v>
      </c>
    </row>
    <row r="73" spans="1:7" x14ac:dyDescent="0.35">
      <c r="A73" s="3" t="s">
        <v>187</v>
      </c>
      <c r="B73" s="5" t="s">
        <v>24</v>
      </c>
      <c r="C73" s="1">
        <v>2021</v>
      </c>
      <c r="D73" s="1">
        <v>6.38</v>
      </c>
      <c r="E73" s="1">
        <v>202125597.34</v>
      </c>
      <c r="F73" s="1">
        <v>264351623.59</v>
      </c>
      <c r="G73" s="1">
        <v>4332.71</v>
      </c>
    </row>
    <row r="74" spans="1:7" x14ac:dyDescent="0.35">
      <c r="A74" s="3" t="s">
        <v>187</v>
      </c>
      <c r="B74" s="5" t="s">
        <v>8</v>
      </c>
      <c r="C74" s="1">
        <v>2021</v>
      </c>
      <c r="D74" s="1">
        <v>7.05</v>
      </c>
      <c r="E74" s="1">
        <v>57670287.020000003</v>
      </c>
      <c r="F74" s="1">
        <v>91171328.319999993</v>
      </c>
      <c r="G74" s="1">
        <v>4686.13</v>
      </c>
    </row>
    <row r="75" spans="1:7" x14ac:dyDescent="0.35">
      <c r="A75" s="3" t="s">
        <v>188</v>
      </c>
      <c r="B75" s="5" t="s">
        <v>41</v>
      </c>
      <c r="C75" s="1">
        <v>2021</v>
      </c>
      <c r="D75" s="1">
        <v>4.9000000000000004</v>
      </c>
      <c r="E75" s="1">
        <v>100144839.53</v>
      </c>
      <c r="F75" s="1">
        <v>247653488.00999999</v>
      </c>
      <c r="G75" s="1">
        <v>101108.99</v>
      </c>
    </row>
    <row r="76" spans="1:7" x14ac:dyDescent="0.35">
      <c r="A76" s="3" t="s">
        <v>187</v>
      </c>
      <c r="B76" s="5" t="s">
        <v>72</v>
      </c>
      <c r="C76" s="1">
        <v>2021</v>
      </c>
      <c r="D76" s="1">
        <v>4.41</v>
      </c>
      <c r="E76" s="1">
        <v>116918781.20999999</v>
      </c>
      <c r="F76" s="1">
        <v>69776578.959999993</v>
      </c>
      <c r="G76" s="1">
        <v>54111.02</v>
      </c>
    </row>
    <row r="77" spans="1:7" x14ac:dyDescent="0.35">
      <c r="A77" s="3" t="s">
        <v>188</v>
      </c>
      <c r="B77" s="5" t="s">
        <v>89</v>
      </c>
      <c r="C77" s="1">
        <v>2021</v>
      </c>
      <c r="D77" s="1">
        <v>5.81</v>
      </c>
      <c r="E77" s="1">
        <v>541322556.98000002</v>
      </c>
      <c r="F77" s="1">
        <v>611544045.04999995</v>
      </c>
      <c r="G77" s="1">
        <v>35578.85</v>
      </c>
    </row>
    <row r="78" spans="1:7" x14ac:dyDescent="0.35">
      <c r="A78" s="3" t="s">
        <v>190</v>
      </c>
      <c r="B78" s="5" t="s">
        <v>173</v>
      </c>
      <c r="C78" s="1">
        <v>2021</v>
      </c>
      <c r="D78" s="1">
        <v>5.91</v>
      </c>
      <c r="E78" s="1">
        <v>5336113.7</v>
      </c>
      <c r="F78" s="1">
        <v>1107797.53</v>
      </c>
      <c r="G78" s="1">
        <v>5183.58</v>
      </c>
    </row>
    <row r="79" spans="1:7" x14ac:dyDescent="0.35">
      <c r="A79" s="3" t="s">
        <v>187</v>
      </c>
      <c r="B79" s="5" t="s">
        <v>112</v>
      </c>
      <c r="C79" s="1">
        <v>2021</v>
      </c>
      <c r="D79" s="1">
        <v>4.53</v>
      </c>
      <c r="E79" s="1">
        <v>704318189.04999995</v>
      </c>
      <c r="F79" s="1">
        <v>850187993.80999994</v>
      </c>
      <c r="G79" s="1">
        <v>39649.93</v>
      </c>
    </row>
    <row r="80" spans="1:7" x14ac:dyDescent="0.35">
      <c r="A80" s="3" t="s">
        <v>187</v>
      </c>
      <c r="B80" s="5" t="s">
        <v>158</v>
      </c>
      <c r="C80" s="1">
        <v>2021</v>
      </c>
      <c r="D80" s="1">
        <v>4.71</v>
      </c>
      <c r="E80" s="1">
        <v>25586379.059999999</v>
      </c>
      <c r="F80" s="1">
        <v>9808091.8000000007</v>
      </c>
      <c r="G80" s="1">
        <v>4058.35</v>
      </c>
    </row>
    <row r="81" spans="1:7" x14ac:dyDescent="0.35">
      <c r="A81" s="3" t="s">
        <v>187</v>
      </c>
      <c r="B81" s="5" t="s">
        <v>86</v>
      </c>
      <c r="C81" s="1">
        <v>2021</v>
      </c>
      <c r="D81" s="1">
        <v>4.26</v>
      </c>
      <c r="E81" s="1">
        <v>54558408.450000003</v>
      </c>
      <c r="F81" s="1">
        <v>59384037.770000003</v>
      </c>
      <c r="G81" s="1">
        <v>10054.89</v>
      </c>
    </row>
    <row r="82" spans="1:7" x14ac:dyDescent="0.35">
      <c r="A82" s="3" t="s">
        <v>189</v>
      </c>
      <c r="B82" s="5" t="s">
        <v>22</v>
      </c>
      <c r="C82" s="1">
        <v>2021</v>
      </c>
      <c r="D82" s="1">
        <v>6.95</v>
      </c>
      <c r="E82" s="1">
        <v>24886099.460000001</v>
      </c>
      <c r="F82" s="1">
        <v>6255228.0199999996</v>
      </c>
      <c r="G82" s="1">
        <v>2081.8000000000002</v>
      </c>
    </row>
    <row r="83" spans="1:7" x14ac:dyDescent="0.35">
      <c r="A83" s="3" t="s">
        <v>192</v>
      </c>
      <c r="B83" s="5" t="s">
        <v>134</v>
      </c>
      <c r="C83" s="1">
        <v>2021</v>
      </c>
      <c r="D83" s="1">
        <v>2.35</v>
      </c>
      <c r="E83" s="1">
        <v>172149.37</v>
      </c>
      <c r="F83" s="1">
        <v>102443.44</v>
      </c>
      <c r="G83" s="1">
        <v>1764.93</v>
      </c>
    </row>
    <row r="84" spans="1:7" x14ac:dyDescent="0.35">
      <c r="A84" s="3" t="s">
        <v>187</v>
      </c>
      <c r="B84" s="5" t="s">
        <v>136</v>
      </c>
      <c r="C84" s="1">
        <v>2021</v>
      </c>
      <c r="D84" s="1">
        <v>4.91</v>
      </c>
      <c r="E84" s="1">
        <v>599607208.15999997</v>
      </c>
      <c r="F84" s="1">
        <v>731208977.99000001</v>
      </c>
      <c r="G84" s="1">
        <v>34940.410000000003</v>
      </c>
    </row>
    <row r="85" spans="1:7" x14ac:dyDescent="0.35">
      <c r="A85" s="3" t="s">
        <v>187</v>
      </c>
      <c r="B85" s="5" t="s">
        <v>57</v>
      </c>
      <c r="C85" s="1">
        <v>2021</v>
      </c>
      <c r="D85" s="1">
        <v>5.14</v>
      </c>
      <c r="E85" s="1">
        <v>41825145.560000002</v>
      </c>
      <c r="F85" s="1">
        <v>63953633.450000003</v>
      </c>
      <c r="G85" s="1">
        <v>32150.18</v>
      </c>
    </row>
    <row r="86" spans="1:7" x14ac:dyDescent="0.35">
      <c r="A86" s="3" t="s">
        <v>188</v>
      </c>
      <c r="B86" s="5" t="s">
        <v>122</v>
      </c>
      <c r="C86" s="1">
        <v>2021</v>
      </c>
      <c r="D86" s="1">
        <v>3.51</v>
      </c>
      <c r="E86" s="1">
        <v>25931764.469999999</v>
      </c>
      <c r="F86" s="1">
        <v>17392576.969999999</v>
      </c>
      <c r="G86" s="1">
        <v>21267.46</v>
      </c>
    </row>
    <row r="87" spans="1:7" x14ac:dyDescent="0.35">
      <c r="A87" s="3" t="s">
        <v>187</v>
      </c>
      <c r="B87" s="5" t="s">
        <v>81</v>
      </c>
      <c r="C87" s="1">
        <v>2021</v>
      </c>
      <c r="D87" s="1">
        <v>6.76</v>
      </c>
      <c r="E87" s="1">
        <v>20240124.34</v>
      </c>
      <c r="F87" s="1">
        <v>3646837.38</v>
      </c>
      <c r="G87" s="1">
        <v>6784.8</v>
      </c>
    </row>
    <row r="88" spans="1:7" x14ac:dyDescent="0.35">
      <c r="A88" s="3" t="s">
        <v>189</v>
      </c>
      <c r="B88" s="5" t="s">
        <v>58</v>
      </c>
      <c r="C88" s="1">
        <v>2021</v>
      </c>
      <c r="D88" s="1">
        <v>3.9</v>
      </c>
      <c r="E88" s="1">
        <v>1614549.36</v>
      </c>
      <c r="F88" s="1">
        <v>1074263.1299999999</v>
      </c>
      <c r="G88" s="1">
        <v>1040.31</v>
      </c>
    </row>
    <row r="89" spans="1:7" x14ac:dyDescent="0.35">
      <c r="A89" s="3" t="s">
        <v>189</v>
      </c>
      <c r="B89" s="5" t="s">
        <v>93</v>
      </c>
      <c r="C89" s="1">
        <v>2021</v>
      </c>
      <c r="D89" s="1">
        <v>5.05</v>
      </c>
      <c r="E89" s="1">
        <v>18444756.539999999</v>
      </c>
      <c r="F89" s="1">
        <v>1717891.97</v>
      </c>
      <c r="G89" s="1">
        <v>470.77</v>
      </c>
    </row>
    <row r="90" spans="1:7" x14ac:dyDescent="0.35">
      <c r="A90" s="3" t="s">
        <v>189</v>
      </c>
      <c r="B90" s="5" t="s">
        <v>172</v>
      </c>
      <c r="C90" s="1">
        <v>2021</v>
      </c>
      <c r="D90" s="1">
        <v>6.55</v>
      </c>
      <c r="E90" s="1">
        <v>24681327.890000001</v>
      </c>
      <c r="F90" s="1">
        <v>33958278.259999998</v>
      </c>
      <c r="G90" s="1">
        <v>5791.25</v>
      </c>
    </row>
    <row r="91" spans="1:7" x14ac:dyDescent="0.35">
      <c r="A91" s="3" t="s">
        <v>188</v>
      </c>
      <c r="B91" s="5" t="s">
        <v>123</v>
      </c>
      <c r="C91" s="1">
        <v>2021</v>
      </c>
      <c r="D91" s="1">
        <v>3.31</v>
      </c>
      <c r="E91" s="1">
        <v>40923728.890000001</v>
      </c>
      <c r="F91" s="1">
        <v>33713173.299999997</v>
      </c>
      <c r="G91" s="1">
        <v>23844.13</v>
      </c>
    </row>
    <row r="92" spans="1:7" x14ac:dyDescent="0.35">
      <c r="A92" s="3" t="s">
        <v>188</v>
      </c>
      <c r="B92" s="5" t="s">
        <v>84</v>
      </c>
      <c r="C92" s="1">
        <v>2021</v>
      </c>
      <c r="D92" s="1">
        <v>2.36</v>
      </c>
      <c r="E92" s="1">
        <v>29529665.52</v>
      </c>
      <c r="F92" s="1">
        <v>19331797.550000001</v>
      </c>
      <c r="G92" s="1">
        <v>133745.4</v>
      </c>
    </row>
    <row r="93" spans="1:7" x14ac:dyDescent="0.35">
      <c r="A93" s="3" t="s">
        <v>189</v>
      </c>
      <c r="B93" s="5" t="s">
        <v>71</v>
      </c>
      <c r="C93" s="1">
        <v>2021</v>
      </c>
      <c r="D93" s="1">
        <v>5.59</v>
      </c>
      <c r="E93" s="1">
        <v>4261222.63</v>
      </c>
      <c r="F93" s="1">
        <v>3334517.01</v>
      </c>
      <c r="G93" s="1">
        <v>499.72</v>
      </c>
    </row>
    <row r="94" spans="1:7" x14ac:dyDescent="0.35">
      <c r="A94" s="3" t="s">
        <v>189</v>
      </c>
      <c r="B94" s="5" t="s">
        <v>42</v>
      </c>
      <c r="C94" s="1">
        <v>2021</v>
      </c>
      <c r="D94" s="1">
        <v>3.83</v>
      </c>
      <c r="E94" s="1">
        <v>1780692.79</v>
      </c>
      <c r="F94" s="1">
        <v>996042.85</v>
      </c>
      <c r="G94" s="1">
        <v>613.34</v>
      </c>
    </row>
    <row r="95" spans="1:7" x14ac:dyDescent="0.35">
      <c r="A95" s="3" t="s">
        <v>187</v>
      </c>
      <c r="B95" s="5" t="s">
        <v>62</v>
      </c>
      <c r="C95" s="1">
        <v>2021</v>
      </c>
      <c r="D95" s="1">
        <v>5.94</v>
      </c>
      <c r="E95" s="1">
        <v>269840936.93000001</v>
      </c>
      <c r="F95" s="1">
        <v>417142772.68000001</v>
      </c>
      <c r="G95" s="1">
        <v>11100.94</v>
      </c>
    </row>
    <row r="96" spans="1:7" x14ac:dyDescent="0.35">
      <c r="A96" s="3" t="s">
        <v>187</v>
      </c>
      <c r="B96" s="5" t="s">
        <v>168</v>
      </c>
      <c r="C96" s="1">
        <v>2021</v>
      </c>
      <c r="D96" s="1">
        <v>4.0599999999999996</v>
      </c>
      <c r="E96" s="1">
        <v>2713587.44</v>
      </c>
      <c r="F96" s="1">
        <v>261326.26</v>
      </c>
      <c r="G96" s="1">
        <v>10366.290000000001</v>
      </c>
    </row>
    <row r="97" spans="1:7" x14ac:dyDescent="0.35">
      <c r="A97" s="3" t="s">
        <v>189</v>
      </c>
      <c r="B97" s="5" t="s">
        <v>115</v>
      </c>
      <c r="C97" s="1">
        <v>2021</v>
      </c>
      <c r="D97" s="1">
        <v>5.89</v>
      </c>
      <c r="E97" s="1">
        <v>6117296.25</v>
      </c>
      <c r="F97" s="1">
        <v>9413395.5700000003</v>
      </c>
      <c r="G97" s="1">
        <v>874.55</v>
      </c>
    </row>
    <row r="98" spans="1:7" x14ac:dyDescent="0.35">
      <c r="A98" s="3" t="s">
        <v>188</v>
      </c>
      <c r="B98" s="5" t="s">
        <v>91</v>
      </c>
      <c r="C98" s="1">
        <v>2021</v>
      </c>
      <c r="D98" s="1">
        <v>4.6500000000000004</v>
      </c>
      <c r="E98" s="1">
        <v>21411733.16</v>
      </c>
      <c r="F98" s="1">
        <v>5556461.2800000003</v>
      </c>
      <c r="G98" s="1">
        <v>33641.599999999999</v>
      </c>
    </row>
    <row r="99" spans="1:7" x14ac:dyDescent="0.35">
      <c r="A99" s="3" t="s">
        <v>192</v>
      </c>
      <c r="B99" s="5" t="s">
        <v>164</v>
      </c>
      <c r="C99" s="1">
        <v>2021</v>
      </c>
      <c r="D99" s="1">
        <v>2.31</v>
      </c>
      <c r="E99" s="1">
        <v>16427288.33</v>
      </c>
      <c r="F99" s="1">
        <v>1515999.78</v>
      </c>
      <c r="G99" s="1">
        <v>6111.27</v>
      </c>
    </row>
    <row r="100" spans="1:7" x14ac:dyDescent="0.35">
      <c r="A100" s="3" t="s">
        <v>189</v>
      </c>
      <c r="B100" s="5" t="s">
        <v>100</v>
      </c>
      <c r="C100" s="1">
        <v>2021</v>
      </c>
      <c r="D100" s="1">
        <v>4.38</v>
      </c>
      <c r="E100" s="1">
        <v>4587551.47</v>
      </c>
      <c r="F100" s="1">
        <v>3910413.25</v>
      </c>
      <c r="G100" s="1">
        <v>2166.04</v>
      </c>
    </row>
    <row r="101" spans="1:7" x14ac:dyDescent="0.35">
      <c r="A101" s="3" t="s">
        <v>189</v>
      </c>
      <c r="B101" s="5" t="s">
        <v>11</v>
      </c>
      <c r="C101" s="1">
        <v>2021</v>
      </c>
      <c r="D101" s="1">
        <v>4.51</v>
      </c>
      <c r="E101" s="1">
        <v>5342370.67</v>
      </c>
      <c r="F101" s="1">
        <v>2312994.75</v>
      </c>
      <c r="G101" s="1">
        <v>8872.9599999999991</v>
      </c>
    </row>
    <row r="102" spans="1:7" x14ac:dyDescent="0.35">
      <c r="A102" s="3" t="s">
        <v>190</v>
      </c>
      <c r="B102" s="5" t="s">
        <v>26</v>
      </c>
      <c r="C102" s="1">
        <v>2021</v>
      </c>
      <c r="D102" s="1">
        <v>7.56</v>
      </c>
      <c r="E102" s="1">
        <v>510446816.12</v>
      </c>
      <c r="F102" s="1">
        <v>529171620.04000002</v>
      </c>
      <c r="G102" s="1">
        <v>10045.68</v>
      </c>
    </row>
    <row r="103" spans="1:7" x14ac:dyDescent="0.35">
      <c r="A103" s="3" t="s">
        <v>188</v>
      </c>
      <c r="B103" s="5" t="s">
        <v>163</v>
      </c>
      <c r="C103" s="1">
        <v>2021</v>
      </c>
      <c r="D103" s="1">
        <v>4.45</v>
      </c>
      <c r="E103" s="1">
        <v>11171686.73</v>
      </c>
      <c r="F103" s="1">
        <v>3959145.55</v>
      </c>
      <c r="G103" s="1">
        <v>4468.42</v>
      </c>
    </row>
    <row r="104" spans="1:7" x14ac:dyDescent="0.35">
      <c r="A104" s="3" t="s">
        <v>187</v>
      </c>
      <c r="B104" s="5" t="s">
        <v>94</v>
      </c>
      <c r="C104" s="1">
        <v>2021</v>
      </c>
      <c r="D104" s="1">
        <v>4.01</v>
      </c>
      <c r="E104" s="1">
        <v>6894926.71</v>
      </c>
      <c r="F104" s="1">
        <v>8292901.8799999999</v>
      </c>
      <c r="G104" s="1">
        <v>4509.8599999999997</v>
      </c>
    </row>
    <row r="105" spans="1:7" x14ac:dyDescent="0.35">
      <c r="A105" s="3" t="s">
        <v>188</v>
      </c>
      <c r="B105" s="5" t="s">
        <v>150</v>
      </c>
      <c r="C105" s="1">
        <v>2021</v>
      </c>
      <c r="D105" s="1">
        <v>6</v>
      </c>
      <c r="E105" s="1">
        <v>4596217.25</v>
      </c>
      <c r="F105" s="1">
        <v>727784.91</v>
      </c>
      <c r="G105" s="1">
        <v>9252.31</v>
      </c>
    </row>
    <row r="106" spans="1:7" x14ac:dyDescent="0.35">
      <c r="A106" s="3" t="s">
        <v>189</v>
      </c>
      <c r="B106" s="5" t="s">
        <v>30</v>
      </c>
      <c r="C106" s="1">
        <v>2021</v>
      </c>
      <c r="D106" s="1">
        <v>4.79</v>
      </c>
      <c r="E106" s="1">
        <v>81145206.140000001</v>
      </c>
      <c r="F106" s="1">
        <v>38144192.880000003</v>
      </c>
      <c r="G106" s="1">
        <v>3853.28</v>
      </c>
    </row>
    <row r="107" spans="1:7" x14ac:dyDescent="0.35">
      <c r="A107" s="3" t="s">
        <v>189</v>
      </c>
      <c r="B107" s="5" t="s">
        <v>76</v>
      </c>
      <c r="C107" s="1">
        <v>2021</v>
      </c>
      <c r="D107" s="1">
        <v>6.53</v>
      </c>
      <c r="E107" s="1">
        <v>18276924.399999999</v>
      </c>
      <c r="F107" s="1">
        <v>7398246.96</v>
      </c>
      <c r="G107" s="1">
        <v>491.84</v>
      </c>
    </row>
    <row r="108" spans="1:7" x14ac:dyDescent="0.35">
      <c r="A108" s="3" t="s">
        <v>187</v>
      </c>
      <c r="B108" s="5" t="s">
        <v>43</v>
      </c>
      <c r="C108" s="1">
        <v>2021</v>
      </c>
      <c r="D108" s="1">
        <v>7.59</v>
      </c>
      <c r="E108" s="1">
        <v>23714433</v>
      </c>
      <c r="F108" s="1">
        <v>21028569.879999999</v>
      </c>
      <c r="G108" s="1">
        <v>1088.93</v>
      </c>
    </row>
    <row r="109" spans="1:7" x14ac:dyDescent="0.35">
      <c r="A109" s="3" t="s">
        <v>189</v>
      </c>
      <c r="B109" s="5" t="s">
        <v>25</v>
      </c>
      <c r="C109" s="1">
        <v>2021</v>
      </c>
      <c r="D109" s="1">
        <v>4.33</v>
      </c>
      <c r="E109" s="1">
        <v>6961463.6799999997</v>
      </c>
      <c r="F109" s="1">
        <v>5191267.5199999996</v>
      </c>
      <c r="G109" s="1">
        <v>4836.17</v>
      </c>
    </row>
    <row r="110" spans="1:7" x14ac:dyDescent="0.35">
      <c r="A110" s="3" t="s">
        <v>192</v>
      </c>
      <c r="B110" s="5" t="s">
        <v>109</v>
      </c>
      <c r="C110" s="1">
        <v>2021</v>
      </c>
      <c r="D110" s="1">
        <v>1.76</v>
      </c>
      <c r="E110" s="1">
        <v>110097.58</v>
      </c>
      <c r="F110" s="1">
        <v>206184.61</v>
      </c>
      <c r="G110" s="1">
        <v>12390.37</v>
      </c>
    </row>
    <row r="111" spans="1:7" x14ac:dyDescent="0.35">
      <c r="A111" s="3" t="s">
        <v>187</v>
      </c>
      <c r="B111" s="5" t="s">
        <v>44</v>
      </c>
      <c r="C111" s="1">
        <v>2021</v>
      </c>
      <c r="D111" s="1">
        <v>6.16</v>
      </c>
      <c r="E111" s="1">
        <v>13437485</v>
      </c>
      <c r="F111" s="1">
        <v>1653715.14</v>
      </c>
      <c r="G111" s="1">
        <v>1205.5</v>
      </c>
    </row>
    <row r="112" spans="1:7" x14ac:dyDescent="0.35">
      <c r="A112" s="3" t="s">
        <v>188</v>
      </c>
      <c r="B112" s="5" t="s">
        <v>69</v>
      </c>
      <c r="C112" s="1">
        <v>2021</v>
      </c>
      <c r="D112" s="1">
        <v>4.6900000000000004</v>
      </c>
      <c r="E112" s="1">
        <v>699721383.80999994</v>
      </c>
      <c r="F112" s="1">
        <v>593441055.39999998</v>
      </c>
      <c r="G112" s="1">
        <v>57871.35</v>
      </c>
    </row>
    <row r="113" spans="1:7" x14ac:dyDescent="0.35">
      <c r="A113" s="3" t="s">
        <v>192</v>
      </c>
      <c r="B113" s="5" t="s">
        <v>159</v>
      </c>
      <c r="C113" s="1">
        <v>2021</v>
      </c>
      <c r="D113" s="1">
        <v>3.25</v>
      </c>
      <c r="E113" s="1">
        <v>49928447.969999999</v>
      </c>
      <c r="F113" s="1">
        <v>46316762.07</v>
      </c>
      <c r="G113" s="1">
        <v>48823.51</v>
      </c>
    </row>
    <row r="114" spans="1:7" x14ac:dyDescent="0.35">
      <c r="A114" s="3" t="s">
        <v>190</v>
      </c>
      <c r="B114" s="5" t="s">
        <v>56</v>
      </c>
      <c r="C114" s="1">
        <v>2021</v>
      </c>
      <c r="D114" s="1">
        <v>6.06</v>
      </c>
      <c r="E114" s="1">
        <v>7499399.2999999998</v>
      </c>
      <c r="F114" s="1">
        <v>7782218.1799999997</v>
      </c>
      <c r="G114" s="1">
        <v>2045.53</v>
      </c>
    </row>
    <row r="115" spans="1:7" x14ac:dyDescent="0.35">
      <c r="A115" s="3" t="s">
        <v>189</v>
      </c>
      <c r="B115" s="5" t="s">
        <v>90</v>
      </c>
      <c r="C115" s="1">
        <v>2021</v>
      </c>
      <c r="D115" s="1">
        <v>6.01</v>
      </c>
      <c r="E115" s="1">
        <v>2182991.5299999998</v>
      </c>
      <c r="F115" s="1">
        <v>3634250.08</v>
      </c>
      <c r="G115" s="1">
        <v>590.63</v>
      </c>
    </row>
    <row r="116" spans="1:7" x14ac:dyDescent="0.35">
      <c r="A116" s="3" t="s">
        <v>189</v>
      </c>
      <c r="B116" s="5" t="s">
        <v>17</v>
      </c>
      <c r="C116" s="1">
        <v>2021</v>
      </c>
      <c r="D116" s="1">
        <v>7.15</v>
      </c>
      <c r="E116" s="1">
        <v>71524943.069999993</v>
      </c>
      <c r="F116" s="1">
        <v>52749353.619999997</v>
      </c>
      <c r="G116" s="1">
        <v>2019.31</v>
      </c>
    </row>
    <row r="117" spans="1:7" x14ac:dyDescent="0.35">
      <c r="A117" s="3" t="s">
        <v>188</v>
      </c>
      <c r="B117" s="5" t="s">
        <v>162</v>
      </c>
      <c r="C117" s="1">
        <v>2021</v>
      </c>
      <c r="D117" s="1">
        <v>5.31</v>
      </c>
      <c r="E117" s="1">
        <v>17577149.890000001</v>
      </c>
      <c r="F117" s="1">
        <v>9610934.0600000005</v>
      </c>
      <c r="G117" s="1">
        <v>6599.62</v>
      </c>
    </row>
    <row r="118" spans="1:7" x14ac:dyDescent="0.35">
      <c r="A118" s="3" t="s">
        <v>188</v>
      </c>
      <c r="B118" s="5" t="s">
        <v>113</v>
      </c>
      <c r="C118" s="1">
        <v>2021</v>
      </c>
      <c r="D118" s="1">
        <v>3.81</v>
      </c>
      <c r="E118" s="1">
        <v>155577307.55000001</v>
      </c>
      <c r="F118" s="1">
        <v>145335950.93000001</v>
      </c>
      <c r="G118" s="1">
        <v>89241.71</v>
      </c>
    </row>
    <row r="119" spans="1:7" x14ac:dyDescent="0.35">
      <c r="A119" s="3" t="s">
        <v>187</v>
      </c>
      <c r="B119" s="5" t="s">
        <v>65</v>
      </c>
      <c r="C119" s="1">
        <v>2021</v>
      </c>
      <c r="D119" s="1">
        <v>4.1399999999999997</v>
      </c>
      <c r="E119" s="1">
        <v>32956954.559999999</v>
      </c>
      <c r="F119" s="1">
        <v>59758859.479999997</v>
      </c>
      <c r="G119" s="1">
        <v>19509.47</v>
      </c>
    </row>
    <row r="120" spans="1:7" x14ac:dyDescent="0.35">
      <c r="A120" s="3" t="s">
        <v>187</v>
      </c>
      <c r="B120" s="5" t="s">
        <v>66</v>
      </c>
      <c r="C120" s="1">
        <v>2021</v>
      </c>
      <c r="D120" s="1">
        <v>6.28</v>
      </c>
      <c r="E120" s="1">
        <v>72875923.260000005</v>
      </c>
      <c r="F120" s="1">
        <v>29618546.120000001</v>
      </c>
      <c r="G120" s="1">
        <v>1480.11</v>
      </c>
    </row>
    <row r="121" spans="1:7" x14ac:dyDescent="0.35">
      <c r="A121" s="3" t="s">
        <v>192</v>
      </c>
      <c r="B121" s="5" t="s">
        <v>154</v>
      </c>
      <c r="C121" s="1">
        <v>2021</v>
      </c>
      <c r="D121" s="1">
        <v>2.94</v>
      </c>
      <c r="E121" s="1">
        <v>135453.13</v>
      </c>
      <c r="F121" s="1">
        <v>5678.02</v>
      </c>
      <c r="G121" s="1">
        <v>12084.13</v>
      </c>
    </row>
    <row r="122" spans="1:7" x14ac:dyDescent="0.35">
      <c r="A122" s="3" t="s">
        <v>190</v>
      </c>
      <c r="B122" s="5" t="s">
        <v>54</v>
      </c>
      <c r="C122" s="1">
        <v>2021</v>
      </c>
      <c r="D122" s="1">
        <v>6.68</v>
      </c>
      <c r="E122" s="1">
        <v>47818372.93</v>
      </c>
      <c r="F122" s="1">
        <v>7455126.0700000003</v>
      </c>
      <c r="G122" s="1">
        <v>14617.6</v>
      </c>
    </row>
    <row r="123" spans="1:7" x14ac:dyDescent="0.35">
      <c r="A123" s="3" t="s">
        <v>192</v>
      </c>
      <c r="B123" s="5" t="s">
        <v>64</v>
      </c>
      <c r="C123" s="1">
        <v>2021</v>
      </c>
      <c r="D123" s="1">
        <v>5.44</v>
      </c>
      <c r="E123" s="1">
        <v>4385492.07</v>
      </c>
      <c r="F123" s="1">
        <v>11965891.380000001</v>
      </c>
      <c r="G123" s="1">
        <v>2672.97</v>
      </c>
    </row>
    <row r="124" spans="1:7" x14ac:dyDescent="0.35">
      <c r="A124" s="3" t="s">
        <v>191</v>
      </c>
      <c r="B124" s="5" t="s">
        <v>103</v>
      </c>
      <c r="C124" s="1">
        <v>2021</v>
      </c>
      <c r="D124" s="1">
        <v>6.7</v>
      </c>
      <c r="E124" s="1">
        <v>11782055.93</v>
      </c>
      <c r="F124" s="1">
        <v>10929697.369999999</v>
      </c>
      <c r="G124" s="1">
        <v>6035.14</v>
      </c>
    </row>
    <row r="125" spans="1:7" x14ac:dyDescent="0.35">
      <c r="A125" s="3" t="s">
        <v>191</v>
      </c>
      <c r="B125" s="5" t="s">
        <v>7</v>
      </c>
      <c r="C125" s="1">
        <v>2021</v>
      </c>
      <c r="D125" s="1">
        <v>6.35</v>
      </c>
      <c r="E125" s="1">
        <v>50828364.649999999</v>
      </c>
      <c r="F125" s="1">
        <v>65199125.07</v>
      </c>
      <c r="G125" s="1">
        <v>6621.65</v>
      </c>
    </row>
    <row r="126" spans="1:7" x14ac:dyDescent="0.35">
      <c r="A126" s="3" t="s">
        <v>187</v>
      </c>
      <c r="B126" s="5" t="s">
        <v>18</v>
      </c>
      <c r="C126" s="1">
        <v>2021</v>
      </c>
      <c r="D126" s="1">
        <v>6.84</v>
      </c>
      <c r="E126" s="1">
        <v>160694229.05000001</v>
      </c>
      <c r="F126" s="1">
        <v>108774557.15000001</v>
      </c>
      <c r="G126" s="1">
        <v>3460.53</v>
      </c>
    </row>
    <row r="127" spans="1:7" x14ac:dyDescent="0.35">
      <c r="A127" s="3" t="s">
        <v>188</v>
      </c>
      <c r="B127" s="5" t="s">
        <v>133</v>
      </c>
      <c r="C127" s="1">
        <v>2021</v>
      </c>
      <c r="D127" s="1">
        <v>4.01</v>
      </c>
      <c r="E127" s="1">
        <v>347416542.22000003</v>
      </c>
      <c r="F127" s="1">
        <v>297597904.98000002</v>
      </c>
      <c r="G127" s="1">
        <v>17736.419999999998</v>
      </c>
    </row>
    <row r="128" spans="1:7" x14ac:dyDescent="0.35">
      <c r="A128" s="3" t="s">
        <v>188</v>
      </c>
      <c r="B128" s="5" t="s">
        <v>96</v>
      </c>
      <c r="C128" s="1">
        <v>2021</v>
      </c>
      <c r="D128" s="1">
        <v>4.55</v>
      </c>
      <c r="E128" s="1">
        <v>94093227.590000004</v>
      </c>
      <c r="F128" s="1">
        <v>73565699.379999995</v>
      </c>
      <c r="G128" s="1">
        <v>24651.18</v>
      </c>
    </row>
    <row r="129" spans="1:7" x14ac:dyDescent="0.35">
      <c r="A129" s="3" t="s">
        <v>187</v>
      </c>
      <c r="B129" s="5" t="s">
        <v>74</v>
      </c>
      <c r="C129" s="1">
        <v>2021</v>
      </c>
      <c r="D129" s="1">
        <v>5.21</v>
      </c>
      <c r="E129" s="1">
        <v>39425790.640000001</v>
      </c>
      <c r="F129" s="1">
        <v>83639792.079999998</v>
      </c>
      <c r="G129" s="1">
        <v>66798.77</v>
      </c>
    </row>
    <row r="130" spans="1:7" x14ac:dyDescent="0.35">
      <c r="A130" s="3" t="s">
        <v>188</v>
      </c>
      <c r="B130" s="5" t="s">
        <v>145</v>
      </c>
      <c r="C130" s="1">
        <v>2021</v>
      </c>
      <c r="D130" s="1">
        <v>4.59</v>
      </c>
      <c r="E130" s="1">
        <v>110204789.13</v>
      </c>
      <c r="F130" s="1">
        <v>88434887.489999995</v>
      </c>
      <c r="G130" s="1">
        <v>14697.75</v>
      </c>
    </row>
    <row r="131" spans="1:7" x14ac:dyDescent="0.35">
      <c r="A131" s="3" t="s">
        <v>189</v>
      </c>
      <c r="B131" s="5" t="s">
        <v>19</v>
      </c>
      <c r="C131" s="1">
        <v>2021</v>
      </c>
      <c r="D131" s="1">
        <v>3.68</v>
      </c>
      <c r="E131" s="1">
        <v>2578028.36</v>
      </c>
      <c r="F131" s="1">
        <v>769436.46</v>
      </c>
      <c r="G131" s="1">
        <v>822.32</v>
      </c>
    </row>
    <row r="132" spans="1:7" x14ac:dyDescent="0.35">
      <c r="A132" s="3" t="s">
        <v>192</v>
      </c>
      <c r="B132" s="5" t="s">
        <v>147</v>
      </c>
      <c r="C132" s="1">
        <v>2021</v>
      </c>
      <c r="D132" s="1">
        <v>2.04</v>
      </c>
      <c r="E132" s="1">
        <v>424488.18</v>
      </c>
      <c r="F132" s="1">
        <v>41823.67</v>
      </c>
      <c r="G132" s="1">
        <v>3918.66</v>
      </c>
    </row>
    <row r="133" spans="1:7" x14ac:dyDescent="0.35">
      <c r="A133" s="3" t="s">
        <v>188</v>
      </c>
      <c r="B133" s="5" t="s">
        <v>110</v>
      </c>
      <c r="C133" s="1">
        <v>2021</v>
      </c>
      <c r="D133" s="1">
        <v>3.01</v>
      </c>
      <c r="E133" s="1">
        <v>808959.29</v>
      </c>
      <c r="F133" s="1">
        <v>229462.86</v>
      </c>
      <c r="G133" s="1">
        <v>50425.1</v>
      </c>
    </row>
    <row r="134" spans="1:7" x14ac:dyDescent="0.35">
      <c r="A134" s="3" t="s">
        <v>189</v>
      </c>
      <c r="B134" s="5" t="s">
        <v>27</v>
      </c>
      <c r="C134" s="1">
        <v>2021</v>
      </c>
      <c r="D134" s="1">
        <v>1.78</v>
      </c>
      <c r="E134" s="1">
        <v>211799.66</v>
      </c>
      <c r="F134" s="1">
        <v>28764.06</v>
      </c>
      <c r="G134" s="1">
        <v>2485.8200000000002</v>
      </c>
    </row>
    <row r="135" spans="1:7" x14ac:dyDescent="0.35">
      <c r="A135" s="3" t="s">
        <v>187</v>
      </c>
      <c r="B135" s="5" t="s">
        <v>35</v>
      </c>
      <c r="C135" s="1">
        <v>2021</v>
      </c>
      <c r="D135" s="1">
        <v>6.01</v>
      </c>
      <c r="E135" s="1">
        <v>173994994.38</v>
      </c>
      <c r="F135" s="1">
        <v>252012135.94999999</v>
      </c>
      <c r="G135" s="1">
        <v>23185.87</v>
      </c>
    </row>
    <row r="136" spans="1:7" x14ac:dyDescent="0.35">
      <c r="A136" s="3" t="s">
        <v>189</v>
      </c>
      <c r="B136" s="5" t="s">
        <v>14</v>
      </c>
      <c r="C136" s="1">
        <v>2021</v>
      </c>
      <c r="D136" s="1">
        <v>4.8099999999999996</v>
      </c>
      <c r="E136" s="1">
        <v>18305116.32</v>
      </c>
      <c r="F136" s="1">
        <v>3400026.67</v>
      </c>
      <c r="G136" s="1">
        <v>1636.88</v>
      </c>
    </row>
    <row r="137" spans="1:7" x14ac:dyDescent="0.35">
      <c r="A137" s="3" t="s">
        <v>189</v>
      </c>
      <c r="B137" s="5" t="s">
        <v>31</v>
      </c>
      <c r="C137" s="1">
        <v>2021</v>
      </c>
      <c r="D137" s="1">
        <v>3.68</v>
      </c>
      <c r="E137" s="1">
        <v>977788.85</v>
      </c>
      <c r="F137" s="1">
        <v>966694.66</v>
      </c>
      <c r="G137" s="1">
        <v>12084.63</v>
      </c>
    </row>
    <row r="138" spans="1:7" x14ac:dyDescent="0.35">
      <c r="A138" s="3" t="s">
        <v>189</v>
      </c>
      <c r="B138" s="5" t="s">
        <v>67</v>
      </c>
      <c r="C138" s="1">
        <v>2021</v>
      </c>
      <c r="D138" s="1">
        <v>5.4</v>
      </c>
      <c r="E138" s="1">
        <v>1924181.1</v>
      </c>
      <c r="F138" s="1">
        <v>973295.98</v>
      </c>
      <c r="G138" s="1">
        <v>504.62</v>
      </c>
    </row>
    <row r="139" spans="1:7" x14ac:dyDescent="0.35">
      <c r="A139" s="3" t="s">
        <v>187</v>
      </c>
      <c r="B139" s="5" t="s">
        <v>157</v>
      </c>
      <c r="C139" s="1">
        <v>2021</v>
      </c>
      <c r="D139" s="1">
        <v>3.13</v>
      </c>
      <c r="E139" s="1">
        <v>366827604.72000003</v>
      </c>
      <c r="F139" s="1">
        <v>297256085.20999998</v>
      </c>
      <c r="G139" s="1">
        <v>66821.72</v>
      </c>
    </row>
    <row r="140" spans="1:7" x14ac:dyDescent="0.35">
      <c r="A140" s="3" t="s">
        <v>188</v>
      </c>
      <c r="B140" s="5" t="s">
        <v>175</v>
      </c>
      <c r="C140" s="1">
        <v>2021</v>
      </c>
      <c r="D140" s="1">
        <v>4.29</v>
      </c>
      <c r="E140" s="1">
        <v>55272481.990000002</v>
      </c>
      <c r="F140" s="1">
        <v>42934183.409999996</v>
      </c>
      <c r="G140" s="1">
        <v>29134.799999999999</v>
      </c>
    </row>
    <row r="141" spans="1:7" x14ac:dyDescent="0.35">
      <c r="A141" s="3" t="s">
        <v>192</v>
      </c>
      <c r="B141" s="5" t="s">
        <v>130</v>
      </c>
      <c r="C141" s="1">
        <v>2021</v>
      </c>
      <c r="D141" s="1">
        <v>4.1500000000000004</v>
      </c>
      <c r="E141" s="1">
        <v>485871.84</v>
      </c>
      <c r="F141" s="1">
        <v>533805.39</v>
      </c>
      <c r="G141" s="1">
        <v>2305.98</v>
      </c>
    </row>
    <row r="142" spans="1:7" x14ac:dyDescent="0.35">
      <c r="A142" s="3" t="s">
        <v>189</v>
      </c>
      <c r="B142" s="5" t="s">
        <v>170</v>
      </c>
      <c r="C142" s="1">
        <v>2021</v>
      </c>
      <c r="D142" s="1">
        <v>5.79</v>
      </c>
      <c r="E142" s="1">
        <v>5249637.4000000004</v>
      </c>
      <c r="F142" s="1">
        <v>505627.11</v>
      </c>
      <c r="G142" s="1">
        <v>447</v>
      </c>
    </row>
    <row r="143" spans="1:7" x14ac:dyDescent="0.35">
      <c r="A143" s="3" t="s">
        <v>189</v>
      </c>
      <c r="B143" s="5" t="s">
        <v>5</v>
      </c>
      <c r="C143" s="1">
        <v>2021</v>
      </c>
      <c r="D143" s="1">
        <v>6.63</v>
      </c>
      <c r="E143" s="1">
        <v>119580111.09999999</v>
      </c>
      <c r="F143" s="1">
        <v>160980172.43000001</v>
      </c>
      <c r="G143" s="1">
        <v>7055.06</v>
      </c>
    </row>
    <row r="144" spans="1:7" x14ac:dyDescent="0.35">
      <c r="A144" s="3" t="s">
        <v>189</v>
      </c>
      <c r="B144" s="5" t="s">
        <v>169</v>
      </c>
      <c r="C144" s="1">
        <v>2021</v>
      </c>
      <c r="D144" s="1">
        <v>6.34</v>
      </c>
      <c r="E144" s="1">
        <v>936088.77</v>
      </c>
      <c r="F144" s="1">
        <v>567495.82999999996</v>
      </c>
      <c r="G144" s="1">
        <v>400.44</v>
      </c>
    </row>
    <row r="145" spans="1:7" x14ac:dyDescent="0.35">
      <c r="A145" s="3" t="s">
        <v>188</v>
      </c>
      <c r="B145" s="5" t="s">
        <v>106</v>
      </c>
      <c r="C145" s="1">
        <v>2021</v>
      </c>
      <c r="D145" s="1">
        <v>5.78</v>
      </c>
      <c r="E145" s="1">
        <v>381128434.5</v>
      </c>
      <c r="F145" s="1">
        <v>361348321.25</v>
      </c>
      <c r="G145" s="1">
        <v>30058.39</v>
      </c>
    </row>
    <row r="146" spans="1:7" x14ac:dyDescent="0.35">
      <c r="A146" s="3" t="s">
        <v>187</v>
      </c>
      <c r="B146" s="5" t="s">
        <v>116</v>
      </c>
      <c r="C146" s="1">
        <v>2021</v>
      </c>
      <c r="D146" s="1">
        <v>4.6399999999999997</v>
      </c>
      <c r="E146" s="1">
        <v>20752701.77</v>
      </c>
      <c r="F146" s="1">
        <v>13054215.310000001</v>
      </c>
      <c r="G146" s="1">
        <v>3918.02</v>
      </c>
    </row>
    <row r="147" spans="1:7" x14ac:dyDescent="0.35">
      <c r="A147" s="3" t="s">
        <v>190</v>
      </c>
      <c r="B147" s="5" t="s">
        <v>148</v>
      </c>
      <c r="C147" s="1">
        <v>2021</v>
      </c>
      <c r="D147" s="1">
        <v>4.0999999999999996</v>
      </c>
      <c r="E147" s="1">
        <v>309629.53999999998</v>
      </c>
      <c r="F147" s="1">
        <v>71163.73</v>
      </c>
      <c r="G147" s="1">
        <v>18082.689999999999</v>
      </c>
    </row>
    <row r="148" spans="1:7" x14ac:dyDescent="0.35">
      <c r="A148" s="3" t="s">
        <v>190</v>
      </c>
      <c r="B148" s="5" t="s">
        <v>176</v>
      </c>
      <c r="C148" s="1">
        <v>2021</v>
      </c>
      <c r="D148" s="1">
        <v>4.09</v>
      </c>
      <c r="E148" s="1">
        <v>3626471.16</v>
      </c>
      <c r="F148" s="1">
        <v>3066614.33</v>
      </c>
      <c r="G148" s="1">
        <v>9824.06</v>
      </c>
    </row>
    <row r="149" spans="1:7" x14ac:dyDescent="0.35">
      <c r="A149" s="3" t="s">
        <v>190</v>
      </c>
      <c r="B149" s="5" t="s">
        <v>174</v>
      </c>
      <c r="C149" s="1">
        <v>2021</v>
      </c>
      <c r="D149" s="1">
        <v>3.3</v>
      </c>
      <c r="E149" s="1">
        <v>568836.9</v>
      </c>
      <c r="F149" s="1">
        <v>121615.62</v>
      </c>
      <c r="G149" s="1">
        <v>8440.0300000000007</v>
      </c>
    </row>
    <row r="150" spans="1:7" x14ac:dyDescent="0.35">
      <c r="A150" s="3" t="s">
        <v>189</v>
      </c>
      <c r="B150" s="5" t="s">
        <v>101</v>
      </c>
      <c r="C150" s="1">
        <v>2021</v>
      </c>
      <c r="D150" s="1">
        <v>6.46</v>
      </c>
      <c r="E150" s="1">
        <v>9597674.8800000008</v>
      </c>
      <c r="F150" s="1">
        <v>5447466.8899999997</v>
      </c>
      <c r="G150" s="1">
        <v>785.58</v>
      </c>
    </row>
    <row r="151" spans="1:7" x14ac:dyDescent="0.35">
      <c r="A151" s="3" t="s">
        <v>191</v>
      </c>
      <c r="B151" s="5" t="s">
        <v>9</v>
      </c>
      <c r="C151" s="1">
        <v>2021</v>
      </c>
      <c r="D151" s="1">
        <v>4.9000000000000004</v>
      </c>
      <c r="E151" s="1">
        <v>1818645.44</v>
      </c>
      <c r="F151" s="1">
        <v>2217099.21</v>
      </c>
      <c r="G151" s="1">
        <v>5259.26</v>
      </c>
    </row>
    <row r="152" spans="1:7" x14ac:dyDescent="0.35">
      <c r="A152" s="3" t="s">
        <v>188</v>
      </c>
      <c r="B152" s="5" t="s">
        <v>118</v>
      </c>
      <c r="C152" s="1">
        <v>2021</v>
      </c>
      <c r="D152" s="1">
        <v>4.5599999999999996</v>
      </c>
      <c r="E152" s="1">
        <v>168148413.62</v>
      </c>
      <c r="F152" s="1">
        <v>179311040.86000001</v>
      </c>
      <c r="G152" s="1">
        <v>60729.71</v>
      </c>
    </row>
    <row r="153" spans="1:7" x14ac:dyDescent="0.35">
      <c r="A153" s="3" t="s">
        <v>188</v>
      </c>
      <c r="B153" s="5" t="s">
        <v>36</v>
      </c>
      <c r="C153" s="1">
        <v>2021</v>
      </c>
      <c r="D153" s="1">
        <v>4.34</v>
      </c>
      <c r="E153" s="1">
        <v>506450948.04000002</v>
      </c>
      <c r="F153" s="1">
        <v>388342418.48000002</v>
      </c>
      <c r="G153" s="1">
        <v>93525.37</v>
      </c>
    </row>
    <row r="154" spans="1:7" x14ac:dyDescent="0.35">
      <c r="A154" s="3" t="s">
        <v>187</v>
      </c>
      <c r="B154" s="5" t="s">
        <v>38</v>
      </c>
      <c r="C154" s="1">
        <v>2021</v>
      </c>
      <c r="D154" s="1">
        <v>5.61</v>
      </c>
      <c r="E154" s="1">
        <v>5106637.5599999996</v>
      </c>
      <c r="F154" s="1">
        <v>1513165.23</v>
      </c>
      <c r="G154" s="1">
        <v>897.05</v>
      </c>
    </row>
    <row r="155" spans="1:7" x14ac:dyDescent="0.35">
      <c r="A155" s="3" t="s">
        <v>189</v>
      </c>
      <c r="B155" s="5" t="s">
        <v>45</v>
      </c>
      <c r="C155" s="1">
        <v>2021</v>
      </c>
      <c r="D155" s="1">
        <v>6.15</v>
      </c>
      <c r="E155" s="1">
        <v>18365344.100000001</v>
      </c>
      <c r="F155" s="1">
        <v>7399362</v>
      </c>
      <c r="G155" s="1">
        <v>1136.19</v>
      </c>
    </row>
    <row r="156" spans="1:7" x14ac:dyDescent="0.35">
      <c r="A156" s="3" t="s">
        <v>187</v>
      </c>
      <c r="B156" s="5" t="s">
        <v>53</v>
      </c>
      <c r="C156" s="1">
        <v>2021</v>
      </c>
      <c r="D156" s="1">
        <v>5.76</v>
      </c>
      <c r="E156" s="1">
        <v>254099887.41</v>
      </c>
      <c r="F156" s="1">
        <v>320261003.24000001</v>
      </c>
      <c r="G156" s="1">
        <v>7066.68</v>
      </c>
    </row>
    <row r="157" spans="1:7" x14ac:dyDescent="0.35">
      <c r="A157" s="3" t="s">
        <v>189</v>
      </c>
      <c r="B157" s="5" t="s">
        <v>48</v>
      </c>
      <c r="C157" s="1">
        <v>2021</v>
      </c>
      <c r="D157" s="1">
        <v>5.33</v>
      </c>
      <c r="E157" s="1">
        <v>15459931.560000001</v>
      </c>
      <c r="F157" s="1">
        <v>3569384.44</v>
      </c>
      <c r="G157" s="1">
        <v>943.94</v>
      </c>
    </row>
    <row r="158" spans="1:7" x14ac:dyDescent="0.35">
      <c r="A158" s="3" t="s">
        <v>192</v>
      </c>
      <c r="B158" s="5" t="s">
        <v>143</v>
      </c>
      <c r="C158" s="1">
        <v>2021</v>
      </c>
      <c r="D158" s="1">
        <v>3.78</v>
      </c>
      <c r="E158" s="1">
        <v>236483.74</v>
      </c>
      <c r="F158" s="1">
        <v>16166.67</v>
      </c>
      <c r="G158" s="1">
        <v>4450.53</v>
      </c>
    </row>
    <row r="159" spans="1:7" x14ac:dyDescent="0.35">
      <c r="A159" s="3" t="s">
        <v>190</v>
      </c>
      <c r="B159" s="5" t="s">
        <v>151</v>
      </c>
      <c r="C159" s="1">
        <v>2021</v>
      </c>
      <c r="D159" s="1">
        <v>4.9400000000000004</v>
      </c>
      <c r="E159" s="1">
        <v>6307026.1600000001</v>
      </c>
      <c r="F159" s="1">
        <v>11265757.84</v>
      </c>
      <c r="G159" s="1">
        <v>16032.5</v>
      </c>
    </row>
    <row r="160" spans="1:7" x14ac:dyDescent="0.35">
      <c r="A160" s="3" t="s">
        <v>189</v>
      </c>
      <c r="B160" s="5" t="s">
        <v>28</v>
      </c>
      <c r="C160" s="1">
        <v>2021</v>
      </c>
      <c r="D160" s="1">
        <v>3.79</v>
      </c>
      <c r="E160" s="1">
        <v>34481744.899999999</v>
      </c>
      <c r="F160" s="1">
        <v>17268855.460000001</v>
      </c>
      <c r="G160" s="1">
        <v>3807.18</v>
      </c>
    </row>
    <row r="161" spans="1:7" x14ac:dyDescent="0.35">
      <c r="A161" s="3" t="s">
        <v>187</v>
      </c>
      <c r="B161" s="5" t="s">
        <v>4</v>
      </c>
      <c r="C161" s="1">
        <v>2021</v>
      </c>
      <c r="D161" s="1">
        <v>6.89</v>
      </c>
      <c r="E161" s="1">
        <v>330886757</v>
      </c>
      <c r="F161" s="1">
        <v>213611436.72999999</v>
      </c>
      <c r="G161" s="1">
        <v>9661.23</v>
      </c>
    </row>
    <row r="162" spans="1:7" x14ac:dyDescent="0.35">
      <c r="A162" s="3" t="s">
        <v>187</v>
      </c>
      <c r="B162" s="5" t="s">
        <v>40</v>
      </c>
      <c r="C162" s="1">
        <v>2021</v>
      </c>
      <c r="D162" s="1">
        <v>4.6100000000000003</v>
      </c>
      <c r="E162" s="1">
        <v>5251422.43</v>
      </c>
      <c r="F162" s="1">
        <v>8182033.0199999996</v>
      </c>
      <c r="G162" s="1">
        <v>8507.67</v>
      </c>
    </row>
    <row r="163" spans="1:7" x14ac:dyDescent="0.35">
      <c r="A163" s="3" t="s">
        <v>192</v>
      </c>
      <c r="B163" s="5" t="s">
        <v>167</v>
      </c>
      <c r="C163" s="1">
        <v>2021</v>
      </c>
      <c r="D163" s="1">
        <v>1.54</v>
      </c>
      <c r="E163" s="1">
        <v>169502.57</v>
      </c>
      <c r="F163" s="1">
        <v>132705.99</v>
      </c>
      <c r="G163" s="1">
        <v>5370.42</v>
      </c>
    </row>
    <row r="164" spans="1:7" x14ac:dyDescent="0.35">
      <c r="A164" s="3" t="s">
        <v>189</v>
      </c>
      <c r="B164" s="5" t="s">
        <v>50</v>
      </c>
      <c r="C164" s="1">
        <v>2021</v>
      </c>
      <c r="D164" s="1">
        <v>6.14</v>
      </c>
      <c r="E164" s="1">
        <v>6524047.5800000001</v>
      </c>
      <c r="F164" s="1">
        <v>3720399</v>
      </c>
      <c r="G164" s="1">
        <v>930.37</v>
      </c>
    </row>
    <row r="165" spans="1:7" x14ac:dyDescent="0.35">
      <c r="A165" s="3" t="s">
        <v>188</v>
      </c>
      <c r="B165" s="5" t="s">
        <v>129</v>
      </c>
      <c r="C165" s="1">
        <v>2021</v>
      </c>
      <c r="D165" s="1">
        <v>6.18</v>
      </c>
      <c r="E165" s="1">
        <v>99221760.719999999</v>
      </c>
      <c r="F165" s="1">
        <v>72144636.659999996</v>
      </c>
      <c r="G165" s="1">
        <v>4596.3500000000004</v>
      </c>
    </row>
    <row r="166" spans="1:7" x14ac:dyDescent="0.35">
      <c r="A166" s="3" t="s">
        <v>187</v>
      </c>
      <c r="B166" s="5" t="s">
        <v>55</v>
      </c>
      <c r="C166" s="1">
        <v>2021</v>
      </c>
      <c r="D166" s="1">
        <v>5.75</v>
      </c>
      <c r="E166" s="1">
        <v>269772885.44999999</v>
      </c>
      <c r="F166" s="1">
        <v>243714415.84999999</v>
      </c>
      <c r="G166" s="1">
        <v>43295.39</v>
      </c>
    </row>
    <row r="167" spans="1:7" x14ac:dyDescent="0.35">
      <c r="A167" s="3" t="s">
        <v>188</v>
      </c>
      <c r="B167" s="5" t="s">
        <v>78</v>
      </c>
      <c r="C167" s="1">
        <v>2021</v>
      </c>
      <c r="D167" s="1">
        <v>4.8899999999999997</v>
      </c>
      <c r="E167" s="1">
        <v>1010705115.15</v>
      </c>
      <c r="F167" s="1">
        <v>411203957.18000001</v>
      </c>
      <c r="G167" s="1">
        <v>46541.760000000002</v>
      </c>
    </row>
    <row r="168" spans="1:7" x14ac:dyDescent="0.35">
      <c r="A168" s="3" t="s">
        <v>190</v>
      </c>
      <c r="B168" s="5" t="s">
        <v>85</v>
      </c>
      <c r="C168" s="1">
        <v>2021</v>
      </c>
      <c r="D168" s="1">
        <v>5.5</v>
      </c>
      <c r="E168" s="1">
        <v>3291674759.3800001</v>
      </c>
      <c r="F168" s="1">
        <v>1703893334.8699999</v>
      </c>
      <c r="G168" s="1">
        <v>69184.7</v>
      </c>
    </row>
    <row r="169" spans="1:7" x14ac:dyDescent="0.35">
      <c r="A169" s="3" t="s">
        <v>191</v>
      </c>
      <c r="B169" s="5" t="s">
        <v>171</v>
      </c>
      <c r="C169" s="1">
        <v>2021</v>
      </c>
      <c r="D169" s="1">
        <v>2.69</v>
      </c>
      <c r="E169" s="1">
        <v>15304615.550000001</v>
      </c>
      <c r="F169" s="1">
        <v>11773500.310000001</v>
      </c>
      <c r="G169" s="1">
        <v>17312.64</v>
      </c>
    </row>
    <row r="170" spans="1:7" x14ac:dyDescent="0.35">
      <c r="A170" s="3" t="s">
        <v>187</v>
      </c>
      <c r="B170" s="5" t="s">
        <v>51</v>
      </c>
      <c r="C170" s="1">
        <v>2021</v>
      </c>
      <c r="D170" s="1">
        <v>4.96</v>
      </c>
      <c r="E170" s="1">
        <v>25792818.059999999</v>
      </c>
      <c r="F170" s="1">
        <v>13081868.33</v>
      </c>
      <c r="G170" s="1">
        <v>2031.57</v>
      </c>
    </row>
    <row r="171" spans="1:7" x14ac:dyDescent="0.35">
      <c r="A171" s="3" t="s">
        <v>192</v>
      </c>
      <c r="B171" s="5" t="s">
        <v>156</v>
      </c>
      <c r="C171" s="1">
        <v>2021</v>
      </c>
      <c r="D171" s="1">
        <v>2.2000000000000002</v>
      </c>
      <c r="E171" s="1">
        <v>404860.99</v>
      </c>
      <c r="F171" s="1">
        <v>285467.90999999997</v>
      </c>
      <c r="G171" s="1">
        <v>3072.57</v>
      </c>
    </row>
    <row r="172" spans="1:7" x14ac:dyDescent="0.35">
      <c r="A172" s="3" t="s">
        <v>191</v>
      </c>
      <c r="B172" s="5" t="s">
        <v>10</v>
      </c>
      <c r="C172" s="1">
        <v>2021</v>
      </c>
      <c r="D172" s="1">
        <v>6.64</v>
      </c>
      <c r="E172" s="1">
        <v>8045060.4500000002</v>
      </c>
      <c r="F172" s="1">
        <v>3610306.16</v>
      </c>
      <c r="G172" s="1">
        <v>3965.03</v>
      </c>
    </row>
    <row r="173" spans="1:7" x14ac:dyDescent="0.35">
      <c r="A173" s="3" t="s">
        <v>187</v>
      </c>
      <c r="B173" s="5" t="s">
        <v>52</v>
      </c>
      <c r="C173" s="1">
        <v>2021</v>
      </c>
      <c r="D173" s="1">
        <v>6.28</v>
      </c>
      <c r="E173" s="1">
        <v>357022783.48000002</v>
      </c>
      <c r="F173" s="1">
        <v>420575524.82999998</v>
      </c>
      <c r="G173" s="1">
        <v>3756.49</v>
      </c>
    </row>
    <row r="174" spans="1:7" x14ac:dyDescent="0.35">
      <c r="A174" s="3" t="s">
        <v>187</v>
      </c>
      <c r="B174" s="5" t="s">
        <v>37</v>
      </c>
      <c r="C174" s="1">
        <v>2021</v>
      </c>
      <c r="D174" s="1">
        <v>6.13</v>
      </c>
      <c r="E174" s="1">
        <v>13578010.130000001</v>
      </c>
      <c r="F174" s="1">
        <v>2186875.7400000002</v>
      </c>
      <c r="G174" s="1">
        <v>301.58999999999997</v>
      </c>
    </row>
    <row r="175" spans="1:7" x14ac:dyDescent="0.35">
      <c r="A175" s="3" t="s">
        <v>189</v>
      </c>
      <c r="B175" s="5" t="s">
        <v>39</v>
      </c>
      <c r="C175" s="1">
        <v>2021</v>
      </c>
      <c r="D175" s="1">
        <v>4.93</v>
      </c>
      <c r="E175" s="1">
        <v>7876466.9000000004</v>
      </c>
      <c r="F175" s="1">
        <v>9737229.4600000009</v>
      </c>
      <c r="G175" s="1">
        <v>1094.5</v>
      </c>
    </row>
    <row r="176" spans="1:7" x14ac:dyDescent="0.35">
      <c r="A176" s="3" t="s">
        <v>189</v>
      </c>
      <c r="B176" s="5" t="s">
        <v>92</v>
      </c>
      <c r="C176" s="1">
        <v>2021</v>
      </c>
      <c r="D176" s="1">
        <v>5.66</v>
      </c>
      <c r="E176" s="1">
        <v>5566423.9000000004</v>
      </c>
      <c r="F176" s="1">
        <v>4333975.75</v>
      </c>
      <c r="G176" s="1">
        <v>1507.99</v>
      </c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  <row r="183" spans="2:2" x14ac:dyDescent="0.35">
      <c r="B183"/>
    </row>
    <row r="184" spans="2:2" x14ac:dyDescent="0.35">
      <c r="B184"/>
    </row>
    <row r="185" spans="2:2" x14ac:dyDescent="0.35">
      <c r="B185"/>
    </row>
    <row r="186" spans="2:2" x14ac:dyDescent="0.35">
      <c r="B186"/>
    </row>
    <row r="187" spans="2:2" x14ac:dyDescent="0.35">
      <c r="B187"/>
    </row>
    <row r="188" spans="2:2" x14ac:dyDescent="0.35">
      <c r="B188"/>
    </row>
    <row r="189" spans="2:2" x14ac:dyDescent="0.35">
      <c r="B189"/>
    </row>
    <row r="190" spans="2:2" x14ac:dyDescent="0.35">
      <c r="B190"/>
    </row>
    <row r="191" spans="2:2" x14ac:dyDescent="0.35">
      <c r="B191"/>
    </row>
    <row r="192" spans="2:2" x14ac:dyDescent="0.35">
      <c r="B192"/>
    </row>
    <row r="193" spans="2:2" x14ac:dyDescent="0.35">
      <c r="B193"/>
    </row>
    <row r="194" spans="2:2" x14ac:dyDescent="0.35">
      <c r="B194"/>
    </row>
    <row r="195" spans="2:2" x14ac:dyDescent="0.35">
      <c r="B195"/>
    </row>
    <row r="196" spans="2:2" x14ac:dyDescent="0.35">
      <c r="B196"/>
    </row>
    <row r="197" spans="2:2" x14ac:dyDescent="0.35">
      <c r="B197"/>
    </row>
    <row r="198" spans="2:2" x14ac:dyDescent="0.35">
      <c r="B198"/>
    </row>
    <row r="199" spans="2:2" x14ac:dyDescent="0.35">
      <c r="B199"/>
    </row>
    <row r="200" spans="2:2" x14ac:dyDescent="0.35">
      <c r="B200"/>
    </row>
    <row r="201" spans="2:2" x14ac:dyDescent="0.35">
      <c r="B201"/>
    </row>
    <row r="202" spans="2:2" x14ac:dyDescent="0.35">
      <c r="B202"/>
    </row>
    <row r="203" spans="2:2" x14ac:dyDescent="0.35">
      <c r="B203"/>
    </row>
    <row r="204" spans="2:2" x14ac:dyDescent="0.35">
      <c r="B204"/>
    </row>
    <row r="205" spans="2:2" x14ac:dyDescent="0.35">
      <c r="B205"/>
    </row>
    <row r="206" spans="2:2" x14ac:dyDescent="0.35">
      <c r="B206"/>
    </row>
    <row r="207" spans="2:2" x14ac:dyDescent="0.35">
      <c r="B207"/>
    </row>
    <row r="208" spans="2:2" x14ac:dyDescent="0.35">
      <c r="B208"/>
    </row>
    <row r="209" spans="2:2" x14ac:dyDescent="0.35">
      <c r="B209"/>
    </row>
    <row r="210" spans="2:2" x14ac:dyDescent="0.35">
      <c r="B210"/>
    </row>
    <row r="211" spans="2:2" x14ac:dyDescent="0.35">
      <c r="B211"/>
    </row>
    <row r="212" spans="2:2" x14ac:dyDescent="0.35">
      <c r="B212"/>
    </row>
    <row r="213" spans="2:2" x14ac:dyDescent="0.35">
      <c r="B213"/>
    </row>
    <row r="214" spans="2:2" x14ac:dyDescent="0.35">
      <c r="B214"/>
    </row>
    <row r="215" spans="2:2" x14ac:dyDescent="0.35">
      <c r="B215"/>
    </row>
    <row r="216" spans="2:2" x14ac:dyDescent="0.35">
      <c r="B216"/>
    </row>
    <row r="217" spans="2:2" x14ac:dyDescent="0.35">
      <c r="B217"/>
    </row>
    <row r="218" spans="2:2" x14ac:dyDescent="0.35">
      <c r="B218"/>
    </row>
    <row r="219" spans="2:2" x14ac:dyDescent="0.35">
      <c r="B219"/>
    </row>
    <row r="220" spans="2:2" x14ac:dyDescent="0.35">
      <c r="B220"/>
    </row>
    <row r="221" spans="2:2" x14ac:dyDescent="0.35">
      <c r="B221"/>
    </row>
    <row r="222" spans="2:2" x14ac:dyDescent="0.35">
      <c r="B222"/>
    </row>
    <row r="223" spans="2:2" x14ac:dyDescent="0.35">
      <c r="B223"/>
    </row>
    <row r="224" spans="2:2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  <row r="256" spans="2:2" x14ac:dyDescent="0.35">
      <c r="B256"/>
    </row>
    <row r="257" spans="2:2" x14ac:dyDescent="0.35">
      <c r="B257"/>
    </row>
    <row r="258" spans="2:2" x14ac:dyDescent="0.35">
      <c r="B258"/>
    </row>
    <row r="259" spans="2:2" x14ac:dyDescent="0.35">
      <c r="B259"/>
    </row>
    <row r="260" spans="2:2" x14ac:dyDescent="0.35">
      <c r="B260"/>
    </row>
    <row r="261" spans="2:2" x14ac:dyDescent="0.35">
      <c r="B261"/>
    </row>
    <row r="262" spans="2:2" x14ac:dyDescent="0.35">
      <c r="B262"/>
    </row>
    <row r="263" spans="2:2" x14ac:dyDescent="0.35">
      <c r="B263"/>
    </row>
    <row r="264" spans="2:2" x14ac:dyDescent="0.35">
      <c r="B264"/>
    </row>
    <row r="265" spans="2:2" x14ac:dyDescent="0.35">
      <c r="B265"/>
    </row>
    <row r="266" spans="2:2" x14ac:dyDescent="0.35">
      <c r="B266"/>
    </row>
    <row r="267" spans="2:2" x14ac:dyDescent="0.35">
      <c r="B267"/>
    </row>
    <row r="268" spans="2:2" x14ac:dyDescent="0.35">
      <c r="B268"/>
    </row>
    <row r="269" spans="2:2" x14ac:dyDescent="0.35">
      <c r="B269"/>
    </row>
    <row r="270" spans="2:2" x14ac:dyDescent="0.35">
      <c r="B270"/>
    </row>
    <row r="271" spans="2:2" x14ac:dyDescent="0.35">
      <c r="B271"/>
    </row>
    <row r="272" spans="2:2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  <row r="284" spans="2:2" x14ac:dyDescent="0.35">
      <c r="B284"/>
    </row>
    <row r="285" spans="2:2" x14ac:dyDescent="0.35">
      <c r="B285"/>
    </row>
    <row r="286" spans="2:2" x14ac:dyDescent="0.35">
      <c r="B286"/>
    </row>
    <row r="287" spans="2:2" x14ac:dyDescent="0.35">
      <c r="B287"/>
    </row>
    <row r="288" spans="2:2" x14ac:dyDescent="0.35">
      <c r="B288"/>
    </row>
    <row r="289" spans="2:2" x14ac:dyDescent="0.35">
      <c r="B289"/>
    </row>
    <row r="290" spans="2:2" x14ac:dyDescent="0.35">
      <c r="B290"/>
    </row>
    <row r="291" spans="2:2" x14ac:dyDescent="0.35">
      <c r="B291"/>
    </row>
    <row r="292" spans="2:2" x14ac:dyDescent="0.35">
      <c r="B292"/>
    </row>
    <row r="293" spans="2:2" x14ac:dyDescent="0.35">
      <c r="B293"/>
    </row>
    <row r="294" spans="2:2" x14ac:dyDescent="0.35">
      <c r="B294"/>
    </row>
    <row r="295" spans="2:2" x14ac:dyDescent="0.35">
      <c r="B295"/>
    </row>
    <row r="296" spans="2:2" x14ac:dyDescent="0.35">
      <c r="B296"/>
    </row>
    <row r="297" spans="2:2" x14ac:dyDescent="0.35">
      <c r="B297"/>
    </row>
    <row r="298" spans="2:2" x14ac:dyDescent="0.35">
      <c r="B298"/>
    </row>
    <row r="299" spans="2:2" x14ac:dyDescent="0.35">
      <c r="B299"/>
    </row>
    <row r="300" spans="2:2" x14ac:dyDescent="0.35">
      <c r="B300"/>
    </row>
    <row r="301" spans="2:2" x14ac:dyDescent="0.35">
      <c r="B301"/>
    </row>
    <row r="302" spans="2:2" x14ac:dyDescent="0.35">
      <c r="B302"/>
    </row>
    <row r="303" spans="2:2" x14ac:dyDescent="0.35">
      <c r="B303"/>
    </row>
    <row r="304" spans="2:2" x14ac:dyDescent="0.35">
      <c r="B304"/>
    </row>
    <row r="305" spans="2:2" x14ac:dyDescent="0.35">
      <c r="B305"/>
    </row>
    <row r="306" spans="2:2" x14ac:dyDescent="0.35">
      <c r="B306"/>
    </row>
    <row r="307" spans="2:2" x14ac:dyDescent="0.35">
      <c r="B307"/>
    </row>
    <row r="308" spans="2:2" x14ac:dyDescent="0.35">
      <c r="B308"/>
    </row>
    <row r="309" spans="2:2" x14ac:dyDescent="0.35">
      <c r="B309"/>
    </row>
    <row r="310" spans="2:2" x14ac:dyDescent="0.35">
      <c r="B310"/>
    </row>
    <row r="311" spans="2:2" x14ac:dyDescent="0.35">
      <c r="B311"/>
    </row>
    <row r="312" spans="2:2" x14ac:dyDescent="0.35">
      <c r="B312"/>
    </row>
    <row r="313" spans="2:2" x14ac:dyDescent="0.35">
      <c r="B313"/>
    </row>
    <row r="314" spans="2:2" x14ac:dyDescent="0.35">
      <c r="B314"/>
    </row>
    <row r="315" spans="2:2" x14ac:dyDescent="0.35">
      <c r="B315"/>
    </row>
    <row r="316" spans="2:2" x14ac:dyDescent="0.35">
      <c r="B316"/>
    </row>
    <row r="317" spans="2:2" x14ac:dyDescent="0.35">
      <c r="B317"/>
    </row>
    <row r="318" spans="2:2" x14ac:dyDescent="0.35">
      <c r="B318"/>
    </row>
    <row r="319" spans="2:2" x14ac:dyDescent="0.35">
      <c r="B319"/>
    </row>
    <row r="320" spans="2:2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</sheetData>
  <autoFilter ref="A1:J176" xr:uid="{00000000-0001-0000-0000-000000000000}"/>
  <mergeCells count="17">
    <mergeCell ref="H12:J12"/>
    <mergeCell ref="H14:J14"/>
    <mergeCell ref="H17:J17"/>
    <mergeCell ref="H18:J18"/>
    <mergeCell ref="H15:J15"/>
    <mergeCell ref="H2:J2"/>
    <mergeCell ref="H5:J5"/>
    <mergeCell ref="H8:J8"/>
    <mergeCell ref="H3:J3"/>
    <mergeCell ref="H6:J6"/>
    <mergeCell ref="H9:J9"/>
    <mergeCell ref="H4:J4"/>
    <mergeCell ref="H10:J10"/>
    <mergeCell ref="H7:J7"/>
    <mergeCell ref="H13:J13"/>
    <mergeCell ref="H16:J16"/>
    <mergeCell ref="H11:J1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0EF1-A95F-42BF-9284-58513A0DD87C}">
  <dimension ref="A1"/>
  <sheetViews>
    <sheetView topLeftCell="B1" zoomScale="83" workbookViewId="0">
      <selection activeCell="O21" sqref="O2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Scatter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ambika sharma</cp:lastModifiedBy>
  <cp:lastPrinted>2024-09-08T19:49:23Z</cp:lastPrinted>
  <dcterms:created xsi:type="dcterms:W3CDTF">2024-03-26T11:10:16Z</dcterms:created>
  <dcterms:modified xsi:type="dcterms:W3CDTF">2024-09-10T07:25:05Z</dcterms:modified>
</cp:coreProperties>
</file>