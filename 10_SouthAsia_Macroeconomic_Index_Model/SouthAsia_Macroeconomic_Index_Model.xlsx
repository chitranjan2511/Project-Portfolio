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tindia-my.sharepoint.com/personal/chitranjankumar_imthyderabad_edu_in/Documents/IMT HYDERABAD/TERM 5/Sectoral outlook/project/"/>
    </mc:Choice>
  </mc:AlternateContent>
  <xr:revisionPtr revIDLastSave="15" documentId="8_{B340C3C1-8CA0-4C9B-BBA8-536CA438BAD0}" xr6:coauthVersionLast="47" xr6:coauthVersionMax="47" xr10:uidLastSave="{E1349757-56F5-410A-BD05-7BBE43553F1B}"/>
  <bookViews>
    <workbookView xWindow="-110" yWindow="-110" windowWidth="19420" windowHeight="10300" xr2:uid="{E9232D73-655D-4359-B30E-D134003CF98A}"/>
  </bookViews>
  <sheets>
    <sheet name="FINAL MODEL" sheetId="43" r:id="rId1"/>
    <sheet name="NORMALIZED DATA" sheetId="26" r:id="rId2"/>
    <sheet name="DATA" sheetId="28" r:id="rId3"/>
    <sheet name="RAW DATA AND SOURCES" sheetId="42" r:id="rId4"/>
    <sheet name="India" sheetId="39" r:id="rId5"/>
    <sheet name="Top Companies in Industrials" sheetId="35" r:id="rId6"/>
    <sheet name="Industrials (Bangladesh)" sheetId="38" r:id="rId7"/>
  </sheets>
  <definedNames>
    <definedName name="_xlnm._FilterDatabase" localSheetId="3" hidden="1">'RAW DATA AND SOURCES'!$A$1:$E$78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3" l="1"/>
  <c r="W6" i="28"/>
  <c r="P10" i="26" s="1"/>
  <c r="W7" i="28"/>
  <c r="P7" i="26" s="1"/>
  <c r="W8" i="28"/>
  <c r="P8" i="26" s="1"/>
  <c r="W9" i="28"/>
  <c r="P6" i="26" s="1"/>
  <c r="W10" i="28"/>
  <c r="P9" i="26" s="1"/>
  <c r="W11" i="28"/>
  <c r="P4" i="26" s="1"/>
  <c r="W5" i="28"/>
  <c r="P5" i="26" s="1"/>
  <c r="U6" i="28"/>
  <c r="O10" i="26" s="1"/>
  <c r="U7" i="28"/>
  <c r="O7" i="26" s="1"/>
  <c r="U8" i="28"/>
  <c r="O8" i="26" s="1"/>
  <c r="U9" i="28"/>
  <c r="O6" i="26" s="1"/>
  <c r="U10" i="28"/>
  <c r="O9" i="26" s="1"/>
  <c r="U11" i="28"/>
  <c r="O4" i="26" s="1"/>
  <c r="U5" i="28"/>
  <c r="O5" i="26" s="1"/>
  <c r="S6" i="28"/>
  <c r="N10" i="26" s="1"/>
  <c r="S7" i="28"/>
  <c r="N7" i="26" s="1"/>
  <c r="S8" i="28"/>
  <c r="N8" i="26" s="1"/>
  <c r="S9" i="28"/>
  <c r="N6" i="26" s="1"/>
  <c r="S10" i="28"/>
  <c r="N9" i="26" s="1"/>
  <c r="S11" i="28"/>
  <c r="N4" i="26" s="1"/>
  <c r="S5" i="28"/>
  <c r="N5" i="26" s="1"/>
  <c r="Q5" i="28"/>
  <c r="M5" i="26" s="1"/>
  <c r="L7" i="26"/>
  <c r="I7" i="26"/>
  <c r="Q6" i="28"/>
  <c r="M10" i="26" s="1"/>
  <c r="Q7" i="28"/>
  <c r="M7" i="26" s="1"/>
  <c r="Q8" i="28"/>
  <c r="M8" i="26" s="1"/>
  <c r="Q9" i="28"/>
  <c r="M6" i="26" s="1"/>
  <c r="Q10" i="28"/>
  <c r="M9" i="26" s="1"/>
  <c r="Q11" i="28"/>
  <c r="M4" i="26" s="1"/>
  <c r="O6" i="28"/>
  <c r="L10" i="26" s="1"/>
  <c r="O7" i="28"/>
  <c r="O8" i="28"/>
  <c r="L8" i="26" s="1"/>
  <c r="O9" i="28"/>
  <c r="L6" i="26" s="1"/>
  <c r="O10" i="28"/>
  <c r="L9" i="26" s="1"/>
  <c r="O11" i="28"/>
  <c r="L4" i="26" s="1"/>
  <c r="O5" i="28"/>
  <c r="L5" i="26" s="1"/>
  <c r="M6" i="28"/>
  <c r="K10" i="26" s="1"/>
  <c r="M7" i="28"/>
  <c r="K7" i="26" s="1"/>
  <c r="M8" i="28"/>
  <c r="K8" i="26" s="1"/>
  <c r="M9" i="28"/>
  <c r="K6" i="26" s="1"/>
  <c r="M10" i="28"/>
  <c r="K9" i="26" s="1"/>
  <c r="M11" i="28"/>
  <c r="K4" i="26" s="1"/>
  <c r="M5" i="28"/>
  <c r="K5" i="26" s="1"/>
  <c r="K5" i="28"/>
  <c r="J5" i="26" s="1"/>
  <c r="K6" i="28"/>
  <c r="J10" i="26" s="1"/>
  <c r="K7" i="28"/>
  <c r="J7" i="26" s="1"/>
  <c r="K8" i="28"/>
  <c r="J8" i="26" s="1"/>
  <c r="K9" i="28"/>
  <c r="J6" i="26" s="1"/>
  <c r="K10" i="28"/>
  <c r="J9" i="26" s="1"/>
  <c r="K11" i="28"/>
  <c r="J4" i="26" s="1"/>
  <c r="G5" i="28"/>
  <c r="I6" i="28"/>
  <c r="I10" i="26" s="1"/>
  <c r="I7" i="28"/>
  <c r="I8" i="28"/>
  <c r="I8" i="26" s="1"/>
  <c r="I9" i="28"/>
  <c r="I6" i="26" s="1"/>
  <c r="I10" i="28"/>
  <c r="I9" i="26" s="1"/>
  <c r="I11" i="28"/>
  <c r="I4" i="26" s="1"/>
  <c r="I5" i="28"/>
  <c r="I5" i="26" s="1"/>
  <c r="E5" i="28"/>
  <c r="A1" i="38"/>
  <c r="A1" i="35"/>
  <c r="G6" i="28" l="1"/>
  <c r="H10" i="26" s="1"/>
  <c r="G7" i="28"/>
  <c r="H7" i="26" s="1"/>
  <c r="G8" i="28"/>
  <c r="H8" i="26" s="1"/>
  <c r="G9" i="28"/>
  <c r="H6" i="26" s="1"/>
  <c r="G10" i="28"/>
  <c r="H9" i="26" s="1"/>
  <c r="G11" i="28"/>
  <c r="H4" i="26" s="1"/>
  <c r="H5" i="26"/>
  <c r="C5" i="28"/>
  <c r="F5" i="26" s="1"/>
  <c r="Q5" i="26" s="1"/>
  <c r="E6" i="28"/>
  <c r="G10" i="26" s="1"/>
  <c r="E7" i="28"/>
  <c r="G7" i="26" s="1"/>
  <c r="E8" i="28"/>
  <c r="G8" i="26" s="1"/>
  <c r="E9" i="28"/>
  <c r="G6" i="26" s="1"/>
  <c r="E10" i="28"/>
  <c r="G9" i="26" s="1"/>
  <c r="E11" i="28"/>
  <c r="G4" i="26" s="1"/>
  <c r="G5" i="26"/>
  <c r="C6" i="28"/>
  <c r="F10" i="26" s="1"/>
  <c r="C7" i="28"/>
  <c r="F7" i="26" s="1"/>
  <c r="C8" i="28"/>
  <c r="F8" i="26" s="1"/>
  <c r="C9" i="28"/>
  <c r="F6" i="26" s="1"/>
  <c r="C10" i="28"/>
  <c r="F9" i="26" s="1"/>
  <c r="Q9" i="26" s="1"/>
  <c r="C11" i="28"/>
  <c r="F4" i="26" s="1"/>
  <c r="Q4" i="26" l="1"/>
  <c r="Q6" i="26"/>
  <c r="Q8" i="26"/>
  <c r="Q7" i="26"/>
  <c r="Q10" i="26"/>
  <c r="R10" i="26" s="1"/>
  <c r="S10" i="26" s="1"/>
  <c r="T10" i="26" s="1"/>
  <c r="R5" i="26" l="1"/>
  <c r="S5" i="26" s="1"/>
  <c r="T5" i="26" s="1"/>
  <c r="R7" i="26"/>
  <c r="S7" i="26" s="1"/>
  <c r="T7" i="26" s="1"/>
  <c r="R4" i="26"/>
  <c r="S4" i="26" s="1"/>
  <c r="T4" i="26" s="1"/>
  <c r="R8" i="26"/>
  <c r="S8" i="26" s="1"/>
  <c r="T8" i="26" s="1"/>
  <c r="R6" i="26"/>
  <c r="S6" i="26" s="1"/>
  <c r="T6" i="26" s="1"/>
  <c r="R9" i="26"/>
  <c r="S9" i="26" s="1"/>
  <c r="T9" i="26" s="1"/>
</calcChain>
</file>

<file path=xl/sharedStrings.xml><?xml version="1.0" encoding="utf-8"?>
<sst xmlns="http://schemas.openxmlformats.org/spreadsheetml/2006/main" count="555" uniqueCount="139">
  <si>
    <t>S. no</t>
  </si>
  <si>
    <t>Variables</t>
  </si>
  <si>
    <t>Weight</t>
  </si>
  <si>
    <t>COUNTRIES</t>
  </si>
  <si>
    <t>Rank</t>
  </si>
  <si>
    <t>Percentile</t>
  </si>
  <si>
    <t xml:space="preserve"> score</t>
  </si>
  <si>
    <t>GDP growth (annual %)</t>
  </si>
  <si>
    <t>Inflation, consumer prices (annual %)</t>
  </si>
  <si>
    <t>Unemployment, total (% of total labor force) (national estimate)</t>
  </si>
  <si>
    <t>Central government debt, total (% of GDP)</t>
  </si>
  <si>
    <t>India</t>
  </si>
  <si>
    <t>Pakistan</t>
  </si>
  <si>
    <t>Bangladesh</t>
  </si>
  <si>
    <t>Nepal</t>
  </si>
  <si>
    <t>Bhutan</t>
  </si>
  <si>
    <t>Sri Lanka</t>
  </si>
  <si>
    <t>Maldives</t>
  </si>
  <si>
    <t>Gross domestic savings (% of GDP)</t>
  </si>
  <si>
    <t>YEAR</t>
  </si>
  <si>
    <t>GDP growth (annual %) Norm</t>
  </si>
  <si>
    <t>Inflation, consumer prices (annual %) Norm</t>
  </si>
  <si>
    <t>Gross domestic savings (% of GDP) Norm</t>
  </si>
  <si>
    <t>Macroeconomic Performance &amp; Stability Index for South Asian countries (2023)</t>
  </si>
  <si>
    <t>Company Common Name</t>
  </si>
  <si>
    <t>Country of Headquarters</t>
  </si>
  <si>
    <t>GICS Sector Name</t>
  </si>
  <si>
    <t>LART.NS</t>
  </si>
  <si>
    <t>Larsen and Toubro Ltd</t>
  </si>
  <si>
    <t>Industrials</t>
  </si>
  <si>
    <t>APSE.NS</t>
  </si>
  <si>
    <t>Adani Ports and Special Economic Zone Ltd</t>
  </si>
  <si>
    <t>HIAE.NS</t>
  </si>
  <si>
    <t>Hindustan Aeronautics Ltd</t>
  </si>
  <si>
    <t>BAJE.NS</t>
  </si>
  <si>
    <t>Bharat Electronics Ltd</t>
  </si>
  <si>
    <t>ADEL.NS</t>
  </si>
  <si>
    <t>Adani Enterprises Ltd</t>
  </si>
  <si>
    <t>INGL.NS</t>
  </si>
  <si>
    <t>Interglobe Aviation Ltd</t>
  </si>
  <si>
    <t>TATM.NS</t>
  </si>
  <si>
    <t>Tata Motors Ltd</t>
  </si>
  <si>
    <t>CUMM.NS</t>
  </si>
  <si>
    <t>Cummins India Ltd</t>
  </si>
  <si>
    <t>SIEM.NS</t>
  </si>
  <si>
    <t>Siemens Ltd</t>
  </si>
  <si>
    <t>ABB.NS</t>
  </si>
  <si>
    <t>ABB India Ltd</t>
  </si>
  <si>
    <t>Company Market Cap</t>
  </si>
  <si>
    <t>BEXI.DH</t>
  </si>
  <si>
    <t>Bangladesh Export Import Company Ltd</t>
  </si>
  <si>
    <t>ACLT.DH</t>
  </si>
  <si>
    <t>Advanced Chemical Industries Plc</t>
  </si>
  <si>
    <t>BSCD.DH</t>
  </si>
  <si>
    <t>Bangladesh Shipping Corp</t>
  </si>
  <si>
    <t>SAPO.DH</t>
  </si>
  <si>
    <t>Summit Alliance Port Ltd</t>
  </si>
  <si>
    <t>RAKC.DH</t>
  </si>
  <si>
    <t>Rak Ceramics (Bangladesh) Ltd</t>
  </si>
  <si>
    <t>GQBP.DH</t>
  </si>
  <si>
    <t>GQ Ball Pen Industries Ltd</t>
  </si>
  <si>
    <t>MIRA.DH</t>
  </si>
  <si>
    <t>Mir Akhter Hossain Ltd</t>
  </si>
  <si>
    <t>QASE.DH</t>
  </si>
  <si>
    <t>Quasem Industries Ltd</t>
  </si>
  <si>
    <t>BBSC.DH</t>
  </si>
  <si>
    <t>BBS Cables PLC</t>
  </si>
  <si>
    <t>ENCS.DH</t>
  </si>
  <si>
    <t>Eastern Cables Ltd</t>
  </si>
  <si>
    <t>Company</t>
  </si>
  <si>
    <t>Country</t>
  </si>
  <si>
    <t>Sector Name</t>
  </si>
  <si>
    <t>Architecture</t>
  </si>
  <si>
    <t>Annual Report</t>
  </si>
  <si>
    <t>https://investors.larsentoubro.com/upload/AnnualRep/FY2025AnnualRepL&amp;T-ANNUAL%20REPORT%202024-25%20-%20LOW%202.pdf</t>
  </si>
  <si>
    <t>https://www.adaniports.com/-/media/Project/Ports/Investor/Investor-Downloads/Annual-Report/FY24.pdf</t>
  </si>
  <si>
    <t>https://www.beximco.com/storage/app/media/Reports/AR_BEXIMCO_2023-24.pdf</t>
  </si>
  <si>
    <t>NA</t>
  </si>
  <si>
    <t>Construction &amp; Engineering (EPC), Heavy Engineering, Defence Manufacturing, Smart Infrastructure, Renewable &amp; Digital Engineering Solutions</t>
  </si>
  <si>
    <t>Port infrastructure and integrated logistics architecture with leadership in multi-cargo port operations, SEZ-linked industrial logistics, automated port handling systems, and end-to-end supply chain infrastructure</t>
  </si>
  <si>
    <t>Diversified industrial and manufacturing architecture with leadership in pharmaceuticals manufacturing, textiles, ceramics, and industrial trading, supported by vertically integrated production and export-oriented operations</t>
  </si>
  <si>
    <t>Chemical and agro-industrial architecture with leadership in crop protection chemicals, pharmaceuticals, consumer chemicals, and agribusiness solutions, supported by formulation technology and distribution-driven industrial capabilities</t>
  </si>
  <si>
    <t>Country Name</t>
  </si>
  <si>
    <t>Country Code</t>
  </si>
  <si>
    <t>Series Name</t>
  </si>
  <si>
    <t>Series Code</t>
  </si>
  <si>
    <t>2023 [YR2023]</t>
  </si>
  <si>
    <t>IND</t>
  </si>
  <si>
    <t>SL.UEM.TOTL.NE.ZS</t>
  </si>
  <si>
    <t>Age dependency ratio (% of working-age population)</t>
  </si>
  <si>
    <t>SP.POP.DPND</t>
  </si>
  <si>
    <t>GC.DOD.TOTL.GD.ZS</t>
  </si>
  <si>
    <t>..</t>
  </si>
  <si>
    <t>Industry (including construction), value added (annual % growth)</t>
  </si>
  <si>
    <t>NV.IND.TOTL.KD.ZG</t>
  </si>
  <si>
    <t>Employment in industry (% of total employment) (modeled ILO estimate)</t>
  </si>
  <si>
    <t>SL.IND.EMPL.ZS</t>
  </si>
  <si>
    <t>Control of Corruption: Percentile Rank</t>
  </si>
  <si>
    <t>CC.PER.RNK</t>
  </si>
  <si>
    <t>Political Stability and Absence of Violence/Terrorism: Percentile Rank</t>
  </si>
  <si>
    <t>PV.PER.RNK</t>
  </si>
  <si>
    <t>Proportion of people living below 50 percent of median income (%)</t>
  </si>
  <si>
    <t>SI.DST.50MD</t>
  </si>
  <si>
    <t>Research and development expenditure (% of GDP)</t>
  </si>
  <si>
    <t>GB.XPD.RSDV.GD.ZS</t>
  </si>
  <si>
    <t>Real interest rate (%)</t>
  </si>
  <si>
    <t>FR.INR.RINR</t>
  </si>
  <si>
    <t>Lending interest rate (%)</t>
  </si>
  <si>
    <t>FR.INR.LEND</t>
  </si>
  <si>
    <t>MDV</t>
  </si>
  <si>
    <t>BTN</t>
  </si>
  <si>
    <t>BGD</t>
  </si>
  <si>
    <t>NPL</t>
  </si>
  <si>
    <t>LKA</t>
  </si>
  <si>
    <t>PAK</t>
  </si>
  <si>
    <t>Age dependency ratio (% of working-age population) (Norm)</t>
  </si>
  <si>
    <t>Control of Corruption: Percentile Rank (Norm)</t>
  </si>
  <si>
    <t>Employment in industry (% of total employment) (modeled ILO estimate) (Norm)</t>
  </si>
  <si>
    <t>Industry (including construction), value added (annual % growth) (Norm)</t>
  </si>
  <si>
    <t>Political Stability and Absence of Violence/Terrorism: Percentile Rank (Norm)</t>
  </si>
  <si>
    <t>Access to electricity (% of population)</t>
  </si>
  <si>
    <t>Gross capital formation (annual % growth)</t>
  </si>
  <si>
    <t>Gross capital formation (annual % growth) (Norm)</t>
  </si>
  <si>
    <t>Access to electricity (% of population) (Norm)</t>
  </si>
  <si>
    <t>Population density (people per sq. km of land area)</t>
  </si>
  <si>
    <t>Population density (people per sq. km of land area) (Norm)</t>
  </si>
  <si>
    <t xml:space="preserve">GDP growth </t>
  </si>
  <si>
    <t>Inflation</t>
  </si>
  <si>
    <t xml:space="preserve">Gross domestic savings </t>
  </si>
  <si>
    <t xml:space="preserve">Age dependency ratio </t>
  </si>
  <si>
    <t>Control of Corruption</t>
  </si>
  <si>
    <t xml:space="preserve">Employment in industry </t>
  </si>
  <si>
    <t>Industry (including construction)</t>
  </si>
  <si>
    <t>Political Stability and Absence of Violence/Terrorism</t>
  </si>
  <si>
    <t xml:space="preserve">Access to electricity </t>
  </si>
  <si>
    <t xml:space="preserve">Gross capital formation </t>
  </si>
  <si>
    <t>Macroeconomic Performance &amp; Stability Index for South Asian countries (2023) for Industrial Sector</t>
  </si>
  <si>
    <t>Index score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</si>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</sst>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474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0" fillId="2" borderId="0" xfId="0" applyFill="1"/>
    <xf numFmtId="9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2" applyNumberFormat="1" applyFont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wrapText="1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0" fillId="2" borderId="0" xfId="0" applyNumberFormat="1" applyFill="1" applyAlignment="1">
      <alignment horizontal="center" vertical="center"/>
    </xf>
    <xf numFmtId="9" fontId="1" fillId="4" borderId="1" xfId="2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3" fillId="4" borderId="1" xfId="2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9" fontId="0" fillId="8" borderId="0" xfId="0" applyNumberFormat="1" applyFill="1"/>
    <xf numFmtId="0" fontId="6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474C"/>
      <color rgb="FFEE4112"/>
      <color rgb="FFFF0000"/>
      <color rgb="FF6C757D"/>
      <color rgb="FF1B95D9"/>
      <color rgb="FF00ABA9"/>
      <color rgb="FF254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Not Signed In</v>
        <stp/>
        <stp>2</stp>
        <stp>69351156</stp>
        <tr r="A1" s="35"/>
      </tp>
      <tp t="s">
        <v>Not Signed In</v>
        <stp/>
        <stp>1</stp>
        <stp>69351156</stp>
        <tr r="A1" s="3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Index Score vs Countries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MODEL'!$F$5</c:f>
              <c:strCache>
                <c:ptCount val="1"/>
                <c:pt idx="0">
                  <c:v>Index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MODEL'!$E$6:$E$12</c:f>
              <c:strCache>
                <c:ptCount val="7"/>
                <c:pt idx="0">
                  <c:v>India</c:v>
                </c:pt>
                <c:pt idx="1">
                  <c:v>Maldives</c:v>
                </c:pt>
                <c:pt idx="2">
                  <c:v>Bhutan</c:v>
                </c:pt>
                <c:pt idx="3">
                  <c:v>Bangladesh</c:v>
                </c:pt>
                <c:pt idx="4">
                  <c:v>Sri Lanka</c:v>
                </c:pt>
                <c:pt idx="5">
                  <c:v>Nepal</c:v>
                </c:pt>
                <c:pt idx="6">
                  <c:v>Pakistan</c:v>
                </c:pt>
              </c:strCache>
            </c:strRef>
          </c:cat>
          <c:val>
            <c:numRef>
              <c:f>'FINAL MODEL'!$F$6:$F$12</c:f>
              <c:numCache>
                <c:formatCode>General</c:formatCode>
                <c:ptCount val="7"/>
                <c:pt idx="0">
                  <c:v>0.69143718150271938</c:v>
                </c:pt>
                <c:pt idx="1">
                  <c:v>0.63958596015940827</c:v>
                </c:pt>
                <c:pt idx="2">
                  <c:v>0.54538493386613585</c:v>
                </c:pt>
                <c:pt idx="3">
                  <c:v>0.53585220364292629</c:v>
                </c:pt>
                <c:pt idx="4">
                  <c:v>0.39677137334987944</c:v>
                </c:pt>
                <c:pt idx="5">
                  <c:v>0.26858779661610793</c:v>
                </c:pt>
                <c:pt idx="6">
                  <c:v>0.18682970641012953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2-4610-9246-0FC4C4BAC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6285999"/>
        <c:axId val="1736296559"/>
      </c:barChart>
      <c:catAx>
        <c:axId val="17362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96559"/>
        <c:crosses val="autoZero"/>
        <c:auto val="1"/>
        <c:lblAlgn val="ctr"/>
        <c:lblOffset val="100"/>
        <c:noMultiLvlLbl val="0"/>
      </c:catAx>
      <c:valAx>
        <c:axId val="173629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8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250825</xdr:colOff>
      <xdr:row>3</xdr:row>
      <xdr:rowOff>88900</xdr:rowOff>
    </xdr:from>
    <xdr:to>
      <xdr:col>14</xdr:col>
      <xdr:colOff>127000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89FDF-57BA-565F-3FBB-10E6F997E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492FAB1-A781-449D-99B6-8BB5E96B13A9}">
    <nsvFilter filterId="{9C4393B4-1796-49CE-B506-1AB07660849D}" ref="A1:E78" tableId="0">
      <columnFilter colId="2">
        <filter colId="2">
          <x:filters>
            <x:filter val="Control of Corruption: Percentile Rank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ximco.com/storage/app/media/Reports/AR_BEXIMCO_2023-24.pdf" TargetMode="External"/><Relationship Id="rId2" Type="http://schemas.openxmlformats.org/officeDocument/2006/relationships/hyperlink" Target="https://www.adaniports.com/-/media/Project/Ports/Investor/Investor-Downloads/Annual-Report/FY24.pdf" TargetMode="External"/><Relationship Id="rId1" Type="http://schemas.openxmlformats.org/officeDocument/2006/relationships/hyperlink" Target="https://investors.larsentoubro.com/upload/AnnualRep/FY2025AnnualRepL&amp;T-ANNUAL%20REPORT%202024-25%20-%20LOW%202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93BB-9A06-48AE-A567-2FEC9DFBF102}">
  <dimension ref="A1:K17"/>
  <sheetViews>
    <sheetView tabSelected="1" workbookViewId="0">
      <selection activeCell="E14" sqref="E14"/>
    </sheetView>
  </sheetViews>
  <sheetFormatPr defaultRowHeight="14.5" x14ac:dyDescent="0.35"/>
  <cols>
    <col min="1" max="1" width="4.90625" bestFit="1" customWidth="1"/>
    <col min="2" max="2" width="45.1796875" bestFit="1" customWidth="1"/>
    <col min="3" max="3" width="6.6328125" bestFit="1" customWidth="1"/>
    <col min="5" max="6" width="10.7265625" bestFit="1" customWidth="1"/>
    <col min="7" max="7" width="11.81640625" bestFit="1" customWidth="1"/>
  </cols>
  <sheetData>
    <row r="1" spans="1:11" ht="14.5" customHeight="1" x14ac:dyDescent="0.35">
      <c r="A1" s="62" t="s">
        <v>136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4.5" customHeight="1" x14ac:dyDescent="0.3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4.5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spans="1:11" x14ac:dyDescent="0.35">
      <c r="A4" s="41" t="s">
        <v>0</v>
      </c>
      <c r="B4" s="41" t="s">
        <v>1</v>
      </c>
      <c r="C4" s="41" t="s">
        <v>2</v>
      </c>
    </row>
    <row r="5" spans="1:11" x14ac:dyDescent="0.35">
      <c r="A5" s="42">
        <v>1</v>
      </c>
      <c r="B5" s="40" t="s">
        <v>126</v>
      </c>
      <c r="C5" s="44">
        <v>0.09</v>
      </c>
      <c r="E5" s="56" t="s">
        <v>3</v>
      </c>
      <c r="F5" s="57" t="s">
        <v>137</v>
      </c>
      <c r="G5" s="57" t="s">
        <v>4</v>
      </c>
      <c r="H5" s="57" t="s">
        <v>5</v>
      </c>
    </row>
    <row r="6" spans="1:11" x14ac:dyDescent="0.35">
      <c r="A6" s="43">
        <v>2</v>
      </c>
      <c r="B6" s="37" t="s">
        <v>127</v>
      </c>
      <c r="C6" s="45">
        <v>7.0000000000000007E-2</v>
      </c>
      <c r="E6" s="58" t="s">
        <v>11</v>
      </c>
      <c r="F6" s="57">
        <v>0.69143718150271938</v>
      </c>
      <c r="G6" s="57">
        <v>1</v>
      </c>
      <c r="H6" s="57">
        <v>1</v>
      </c>
    </row>
    <row r="7" spans="1:11" x14ac:dyDescent="0.35">
      <c r="A7" s="42">
        <v>3</v>
      </c>
      <c r="B7" s="40" t="s">
        <v>128</v>
      </c>
      <c r="C7" s="44">
        <v>0.08</v>
      </c>
      <c r="E7" s="58" t="s">
        <v>17</v>
      </c>
      <c r="F7" s="57">
        <v>0.63958596015940827</v>
      </c>
      <c r="G7" s="57">
        <v>2</v>
      </c>
      <c r="H7" s="57">
        <v>0.9285714285714286</v>
      </c>
    </row>
    <row r="8" spans="1:11" x14ac:dyDescent="0.35">
      <c r="A8" s="43">
        <v>4</v>
      </c>
      <c r="B8" s="38" t="s">
        <v>129</v>
      </c>
      <c r="C8" s="45">
        <v>0.08</v>
      </c>
      <c r="E8" s="58" t="s">
        <v>15</v>
      </c>
      <c r="F8" s="57">
        <v>0.54538493386613585</v>
      </c>
      <c r="G8" s="57">
        <v>3</v>
      </c>
      <c r="H8" s="57">
        <v>0.8571428571428571</v>
      </c>
    </row>
    <row r="9" spans="1:11" x14ac:dyDescent="0.35">
      <c r="A9" s="42">
        <v>5</v>
      </c>
      <c r="B9" s="39" t="s">
        <v>130</v>
      </c>
      <c r="C9" s="44">
        <v>0.09</v>
      </c>
      <c r="E9" s="58" t="s">
        <v>13</v>
      </c>
      <c r="F9" s="57">
        <v>0.53585220364292629</v>
      </c>
      <c r="G9" s="57">
        <v>4</v>
      </c>
      <c r="H9" s="57">
        <v>0.7857142857142857</v>
      </c>
    </row>
    <row r="10" spans="1:11" x14ac:dyDescent="0.35">
      <c r="A10" s="42">
        <v>6</v>
      </c>
      <c r="B10" s="39" t="s">
        <v>131</v>
      </c>
      <c r="C10" s="44">
        <v>0.1</v>
      </c>
      <c r="E10" s="58" t="s">
        <v>16</v>
      </c>
      <c r="F10" s="57">
        <v>0.39677137334987944</v>
      </c>
      <c r="G10" s="57">
        <v>5</v>
      </c>
      <c r="H10" s="57">
        <v>0.7142857142857143</v>
      </c>
    </row>
    <row r="11" spans="1:11" x14ac:dyDescent="0.35">
      <c r="A11" s="42">
        <v>7</v>
      </c>
      <c r="B11" s="39" t="s">
        <v>132</v>
      </c>
      <c r="C11" s="44">
        <v>0.12</v>
      </c>
      <c r="E11" s="58" t="s">
        <v>14</v>
      </c>
      <c r="F11" s="57">
        <v>0.26858779661610793</v>
      </c>
      <c r="G11" s="57">
        <v>6</v>
      </c>
      <c r="H11" s="57">
        <v>0.6428571428571429</v>
      </c>
    </row>
    <row r="12" spans="1:11" x14ac:dyDescent="0.35">
      <c r="A12" s="42">
        <v>8</v>
      </c>
      <c r="B12" s="39" t="s">
        <v>133</v>
      </c>
      <c r="C12" s="44">
        <v>0.09</v>
      </c>
      <c r="E12" s="58" t="s">
        <v>12</v>
      </c>
      <c r="F12" s="57">
        <v>0.18682970641012953</v>
      </c>
      <c r="G12" s="57">
        <v>7</v>
      </c>
      <c r="H12" s="57">
        <v>0.5714285714285714</v>
      </c>
    </row>
    <row r="13" spans="1:11" x14ac:dyDescent="0.35">
      <c r="A13" s="42">
        <v>9</v>
      </c>
      <c r="B13" s="39" t="s">
        <v>134</v>
      </c>
      <c r="C13" s="44">
        <v>0.1</v>
      </c>
    </row>
    <row r="14" spans="1:11" x14ac:dyDescent="0.35">
      <c r="A14" s="42">
        <v>10</v>
      </c>
      <c r="B14" s="39" t="s">
        <v>135</v>
      </c>
      <c r="C14" s="44">
        <v>0.1</v>
      </c>
    </row>
    <row r="15" spans="1:11" x14ac:dyDescent="0.35">
      <c r="A15" s="42">
        <v>11</v>
      </c>
      <c r="B15" s="39" t="s">
        <v>124</v>
      </c>
      <c r="C15" s="44">
        <v>0.08</v>
      </c>
    </row>
    <row r="17" spans="1:3" x14ac:dyDescent="0.35">
      <c r="A17" s="60"/>
      <c r="B17" s="59" t="s">
        <v>138</v>
      </c>
      <c r="C17" s="61">
        <f>SUM(C5:C15)</f>
        <v>0.99999999999999989</v>
      </c>
    </row>
  </sheetData>
  <sortState xmlns:xlrd2="http://schemas.microsoft.com/office/spreadsheetml/2017/richdata2" ref="E6:H12">
    <sortCondition ref="G6:G12"/>
  </sortState>
  <mergeCells count="1">
    <mergeCell ref="A1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4485-628C-474D-BDAC-492110ADDAD9}">
  <dimension ref="A1:T30"/>
  <sheetViews>
    <sheetView zoomScale="95" zoomScaleNormal="50" workbookViewId="0">
      <selection sqref="A1:D2"/>
    </sheetView>
  </sheetViews>
  <sheetFormatPr defaultRowHeight="14.5" x14ac:dyDescent="0.35"/>
  <cols>
    <col min="1" max="1" width="5" style="4" bestFit="1" customWidth="1"/>
    <col min="2" max="2" width="68.54296875" style="4" bestFit="1" customWidth="1"/>
    <col min="3" max="3" width="6.6328125" style="4" bestFit="1" customWidth="1"/>
    <col min="4" max="4" width="6.6328125" style="4" customWidth="1"/>
    <col min="5" max="5" width="10.90625" style="4" bestFit="1" customWidth="1"/>
    <col min="6" max="6" width="26.36328125" style="4" bestFit="1" customWidth="1"/>
    <col min="7" max="7" width="38.54296875" style="4" bestFit="1" customWidth="1"/>
    <col min="8" max="8" width="37.1796875" style="4" bestFit="1" customWidth="1"/>
    <col min="9" max="9" width="50.90625" style="4" bestFit="1" customWidth="1"/>
    <col min="10" max="10" width="42.453125" style="4" bestFit="1" customWidth="1"/>
    <col min="11" max="11" width="42.1796875" style="4" bestFit="1" customWidth="1"/>
    <col min="12" max="12" width="48.81640625" style="4" bestFit="1" customWidth="1"/>
    <col min="13" max="13" width="68.08984375" style="4" bestFit="1" customWidth="1"/>
    <col min="14" max="14" width="39" style="4" bestFit="1" customWidth="1"/>
    <col min="15" max="15" width="56.36328125" style="4" bestFit="1" customWidth="1"/>
    <col min="16" max="16" width="48.08984375" style="4" bestFit="1" customWidth="1"/>
    <col min="17" max="17" width="48.08984375" style="4" customWidth="1"/>
    <col min="18" max="18" width="9.54296875" style="4" bestFit="1" customWidth="1"/>
    <col min="19" max="19" width="15.08984375" style="4" bestFit="1" customWidth="1"/>
    <col min="20" max="20" width="8.7265625" style="4"/>
    <col min="21" max="16384" width="8.7265625" style="8"/>
  </cols>
  <sheetData>
    <row r="1" spans="1:20" ht="14.5" customHeight="1" x14ac:dyDescent="0.35">
      <c r="A1" s="63" t="s">
        <v>23</v>
      </c>
      <c r="B1" s="63"/>
      <c r="C1" s="63"/>
      <c r="D1" s="63"/>
      <c r="E1" s="50"/>
      <c r="F1" s="50"/>
      <c r="T1" s="8"/>
    </row>
    <row r="2" spans="1:20" ht="14.5" customHeight="1" x14ac:dyDescent="0.35">
      <c r="A2" s="63"/>
      <c r="B2" s="63"/>
      <c r="C2" s="63"/>
      <c r="D2" s="63"/>
      <c r="E2" s="50"/>
      <c r="F2" s="50"/>
      <c r="T2" s="8"/>
    </row>
    <row r="3" spans="1:20" s="4" customFormat="1" x14ac:dyDescent="0.35">
      <c r="A3" s="41" t="s">
        <v>0</v>
      </c>
      <c r="B3" s="41" t="s">
        <v>1</v>
      </c>
      <c r="C3" s="41" t="s">
        <v>2</v>
      </c>
      <c r="D3" s="10"/>
      <c r="E3" s="46" t="s">
        <v>3</v>
      </c>
      <c r="F3" s="28" t="s">
        <v>126</v>
      </c>
      <c r="G3" s="28" t="s">
        <v>127</v>
      </c>
      <c r="H3" s="28" t="s">
        <v>128</v>
      </c>
      <c r="I3" s="46" t="s">
        <v>129</v>
      </c>
      <c r="J3" s="46" t="s">
        <v>130</v>
      </c>
      <c r="K3" s="46" t="s">
        <v>131</v>
      </c>
      <c r="L3" s="46" t="s">
        <v>132</v>
      </c>
      <c r="M3" s="46" t="s">
        <v>133</v>
      </c>
      <c r="N3" s="46" t="s">
        <v>134</v>
      </c>
      <c r="O3" s="46" t="s">
        <v>135</v>
      </c>
      <c r="P3" s="46" t="s">
        <v>124</v>
      </c>
      <c r="Q3" s="46" t="s">
        <v>137</v>
      </c>
      <c r="R3" s="46" t="s">
        <v>4</v>
      </c>
      <c r="S3" s="52" t="s">
        <v>5</v>
      </c>
      <c r="T3" s="46" t="s">
        <v>6</v>
      </c>
    </row>
    <row r="4" spans="1:20" s="4" customFormat="1" x14ac:dyDescent="0.35">
      <c r="A4" s="42">
        <v>1</v>
      </c>
      <c r="B4" s="40" t="s">
        <v>126</v>
      </c>
      <c r="C4" s="44">
        <v>0.08</v>
      </c>
      <c r="D4" s="9"/>
      <c r="E4" s="28" t="s">
        <v>17</v>
      </c>
      <c r="F4" s="47">
        <f>_xlfn.XLOOKUP(E4,DATA!$A$4:$A$11,DATA!$C$4:$C$11)</f>
        <v>0.67331511033804259</v>
      </c>
      <c r="G4" s="48">
        <f>_xlfn.XLOOKUP($E4,DATA!$A$4:$A$11,DATA!$E$4:$E$11)</f>
        <v>1</v>
      </c>
      <c r="H4" s="48">
        <f>_xlfn.XLOOKUP($E4,DATA!$A$4:$A$11,DATA!$G$4:$G$11)</f>
        <v>1</v>
      </c>
      <c r="I4" s="48">
        <f>_xlfn.XLOOKUP(E4,DATA!$A$5:$A$11,DATA!$I$5:$I$11)</f>
        <v>1</v>
      </c>
      <c r="J4" s="48">
        <f>_xlfn.XLOOKUP(E4,DATA!$A$5:$A$11,DATA!$K$5:$K$11)</f>
        <v>0.32716051023628895</v>
      </c>
      <c r="K4" s="48">
        <f>_xlfn.XLOOKUP(E4,DATA!$A$5:$A$11,DATA!$M$5:$M$11)</f>
        <v>0.87501887263505052</v>
      </c>
      <c r="L4" s="48">
        <f>_xlfn.XLOOKUP(E4,DATA!$A$5:$A$11,DATA!$O$5:$O$11)</f>
        <v>0.62120236094881742</v>
      </c>
      <c r="M4" s="48">
        <f>_xlfn.XLOOKUP(E4,DATA!$A$5:$A$11,DATA!$Q$5:$Q$11)</f>
        <v>0.72839506126834674</v>
      </c>
      <c r="N4" s="48">
        <f>_xlfn.XLOOKUP(E4,DATA!$A$5:$A$11,DATA!$S$5:$S$11)</f>
        <v>1</v>
      </c>
      <c r="O4" s="48">
        <f>_xlfn.XLOOKUP(E4,DATA!$A$5:$A$11,DATA!$U$5:$U$11)</f>
        <v>8.6745793195844592E-2</v>
      </c>
      <c r="P4" s="49">
        <f>_xlfn.XLOOKUP(E4,DATA!$A$5:$A$11,DATA!$W$5:$W$11)</f>
        <v>1</v>
      </c>
      <c r="Q4" s="49">
        <f>$C$4*F4+$C$5*G4+$C$6*H4+$C$7*I4+$C$8*J4+$C$9*K4+$C$10*L4+$C$11*M4+$C$12*N4+$C$13*O4+$C$14*P4</f>
        <v>0.63958596015940827</v>
      </c>
      <c r="R4" s="53">
        <f>RANK(Q4,$Q$4:$Q$10,0)</f>
        <v>2</v>
      </c>
      <c r="S4" s="54">
        <f t="shared" ref="S4:S10" si="0">(15-R4)/(15-1)</f>
        <v>0.9285714285714286</v>
      </c>
      <c r="T4" s="55" t="str">
        <f t="shared" ref="T4:T10" si="1">IF(S4&gt;80%,"5",IF(S4&gt;60%,"4",IF(S4&gt;40%,"3",IF(S4&gt;20%,"2",IF(S4&gt;=0%,"1")))))</f>
        <v>5</v>
      </c>
    </row>
    <row r="5" spans="1:20" s="4" customFormat="1" x14ac:dyDescent="0.35">
      <c r="A5" s="43">
        <v>2</v>
      </c>
      <c r="B5" s="37" t="s">
        <v>127</v>
      </c>
      <c r="C5" s="45">
        <v>7.0000000000000007E-2</v>
      </c>
      <c r="D5" s="9"/>
      <c r="E5" s="28" t="s">
        <v>11</v>
      </c>
      <c r="F5" s="47">
        <f>_xlfn.XLOOKUP(E5,DATA!$A$4:$A$11,DATA!$C$4:$C$11)</f>
        <v>1</v>
      </c>
      <c r="G5" s="48">
        <f>_xlfn.XLOOKUP($E5,DATA!$A$4:$A$11,DATA!$E$4:$E$11)</f>
        <v>0.90224091287335972</v>
      </c>
      <c r="H5" s="48">
        <f>_xlfn.XLOOKUP($E5,DATA!$A$4:$A$11,DATA!$G$4:$G$11)</f>
        <v>0.92149391145833526</v>
      </c>
      <c r="I5" s="48">
        <f>_xlfn.XLOOKUP(E5,DATA!$A$5:$A$11,DATA!$I$5:$I$11)</f>
        <v>0.61088906222102324</v>
      </c>
      <c r="J5" s="48">
        <f>_xlfn.XLOOKUP(E5,DATA!$A$5:$A$11,DATA!$K$5:$K$11)</f>
        <v>0.35185185254519546</v>
      </c>
      <c r="K5" s="48">
        <f>_xlfn.XLOOKUP(E5,DATA!$A$5:$A$11,DATA!$M$5:$M$11)</f>
        <v>0.87721855968322204</v>
      </c>
      <c r="L5" s="48">
        <f>_xlfn.XLOOKUP(E5,DATA!$A$5:$A$11,DATA!$O$5:$O$11)</f>
        <v>1</v>
      </c>
      <c r="M5" s="48">
        <f>_xlfn.XLOOKUP(E5,DATA!$A$5:$A$11,DATA!$Q$5:$Q$11)</f>
        <v>0.1913580300969295</v>
      </c>
      <c r="N5" s="48">
        <f>_xlfn.XLOOKUP(E5,DATA!$A$5:$A$11,DATA!$S$5:$S$11)</f>
        <v>0.91666666666666663</v>
      </c>
      <c r="O5" s="48">
        <f>_xlfn.XLOOKUP(E5,DATA!$A$5:$A$11,DATA!$U$5:$U$11)</f>
        <v>1</v>
      </c>
      <c r="P5" s="49">
        <f>_xlfn.XLOOKUP(E5,DATA!$A$5:$A$11,DATA!$W$5:$W$11)</f>
        <v>0.26544607374030471</v>
      </c>
      <c r="Q5" s="49">
        <f t="shared" ref="Q5:Q10" si="2">$C$4*F5+$C$5*G5+$C$6*H5+$C$7*I5+$C$8*J5+$C$9*K5+$C$10*L5+$C$11*M5+$C$12*N5+$C$13*O5+$C$14*P5</f>
        <v>0.69143718150271938</v>
      </c>
      <c r="R5" s="53">
        <f t="shared" ref="R5:R10" si="3">RANK(Q5,$Q$4:$Q$10,0)</f>
        <v>1</v>
      </c>
      <c r="S5" s="54">
        <f t="shared" si="0"/>
        <v>1</v>
      </c>
      <c r="T5" s="55" t="str">
        <f t="shared" si="1"/>
        <v>5</v>
      </c>
    </row>
    <row r="6" spans="1:20" s="4" customFormat="1" x14ac:dyDescent="0.35">
      <c r="A6" s="42">
        <v>3</v>
      </c>
      <c r="B6" s="40" t="s">
        <v>128</v>
      </c>
      <c r="C6" s="44">
        <v>0.08</v>
      </c>
      <c r="D6" s="9"/>
      <c r="E6" s="28" t="s">
        <v>15</v>
      </c>
      <c r="F6" s="47">
        <f>_xlfn.XLOOKUP(E6,DATA!$A$4:$A$11,DATA!$C$4:$C$11)</f>
        <v>0.68822009839480092</v>
      </c>
      <c r="G6" s="48">
        <f>_xlfn.XLOOKUP($E6,DATA!$A$4:$A$11,DATA!$E$4:$E$11)</f>
        <v>0.9532382259787201</v>
      </c>
      <c r="H6" s="48">
        <f>_xlfn.XLOOKUP($E6,DATA!$A$4:$A$11,DATA!$G$4:$G$11)</f>
        <v>0.55364521160717495</v>
      </c>
      <c r="I6" s="48">
        <f>_xlfn.XLOOKUP(E6,DATA!$A$5:$A$11,DATA!$I$5:$I$11)</f>
        <v>0.83385786675731199</v>
      </c>
      <c r="J6" s="48">
        <f>_xlfn.XLOOKUP(E6,DATA!$A$5:$A$11,DATA!$K$5:$K$11)</f>
        <v>1</v>
      </c>
      <c r="K6" s="48">
        <f>_xlfn.XLOOKUP(E6,DATA!$A$5:$A$11,DATA!$M$5:$M$11)</f>
        <v>0</v>
      </c>
      <c r="L6" s="48">
        <f>_xlfn.XLOOKUP(E6,DATA!$A$5:$A$11,DATA!$O$5:$O$11)</f>
        <v>0.42132178624749944</v>
      </c>
      <c r="M6" s="48">
        <f>_xlfn.XLOOKUP(E6,DATA!$A$5:$A$11,DATA!$Q$5:$Q$11)</f>
        <v>1</v>
      </c>
      <c r="N6" s="48">
        <f>_xlfn.XLOOKUP(E6,DATA!$A$5:$A$11,DATA!$S$5:$S$11)</f>
        <v>1</v>
      </c>
      <c r="O6" s="48">
        <f>_xlfn.XLOOKUP(E6,DATA!$A$5:$A$11,DATA!$U$5:$U$11)</f>
        <v>0.18718946892328819</v>
      </c>
      <c r="P6" s="49">
        <f>_xlfn.XLOOKUP(E6,DATA!$A$5:$A$11,DATA!$W$5:$W$11)</f>
        <v>0</v>
      </c>
      <c r="Q6" s="49">
        <f t="shared" si="2"/>
        <v>0.54538493386613585</v>
      </c>
      <c r="R6" s="53">
        <f t="shared" si="3"/>
        <v>3</v>
      </c>
      <c r="S6" s="54">
        <f t="shared" si="0"/>
        <v>0.8571428571428571</v>
      </c>
      <c r="T6" s="55" t="str">
        <f t="shared" si="1"/>
        <v>5</v>
      </c>
    </row>
    <row r="7" spans="1:20" s="4" customFormat="1" x14ac:dyDescent="0.35">
      <c r="A7" s="43">
        <v>4</v>
      </c>
      <c r="B7" s="38" t="s">
        <v>129</v>
      </c>
      <c r="C7" s="45">
        <v>0.06</v>
      </c>
      <c r="D7" s="9"/>
      <c r="E7" s="28" t="s">
        <v>13</v>
      </c>
      <c r="F7" s="47">
        <f>_xlfn.XLOOKUP(E7,DATA!$A$4:$A$11,DATA!$C$4:$C$11)</f>
        <v>0.77338530225800262</v>
      </c>
      <c r="G7" s="48">
        <f>_xlfn.XLOOKUP($E7,DATA!$A$4:$A$11,DATA!$E$4:$E$11)</f>
        <v>0.75014827401466688</v>
      </c>
      <c r="H7" s="48">
        <f>_xlfn.XLOOKUP($E7,DATA!$A$4:$A$11,DATA!$G$4:$G$11)</f>
        <v>0.77217365189682441</v>
      </c>
      <c r="I7" s="48">
        <f>_xlfn.XLOOKUP(E7,DATA!$A$5:$A$11,DATA!$I$5:$I$11)</f>
        <v>0.45040847323790451</v>
      </c>
      <c r="J7" s="48">
        <f>_xlfn.XLOOKUP(E7,DATA!$A$5:$A$11,DATA!$K$5:$K$11)</f>
        <v>0</v>
      </c>
      <c r="K7" s="48">
        <f>_xlfn.XLOOKUP(E7,DATA!$A$5:$A$11,DATA!$M$5:$M$11)</f>
        <v>0.50451120131688199</v>
      </c>
      <c r="L7" s="48">
        <f>_xlfn.XLOOKUP(E7,DATA!$A$5:$A$11,DATA!$O$5:$O$11)</f>
        <v>0.87777086441689889</v>
      </c>
      <c r="M7" s="48">
        <f>_xlfn.XLOOKUP(E7,DATA!$A$5:$A$11,DATA!$Q$5:$Q$11)</f>
        <v>0.11728394912212591</v>
      </c>
      <c r="N7" s="48">
        <f>_xlfn.XLOOKUP(E7,DATA!$A$5:$A$11,DATA!$S$5:$S$11)</f>
        <v>0.91666666666666663</v>
      </c>
      <c r="O7" s="48">
        <f>_xlfn.XLOOKUP(E7,DATA!$A$5:$A$11,DATA!$U$5:$U$11)</f>
        <v>0.70668365932220878</v>
      </c>
      <c r="P7" s="49">
        <f>_xlfn.XLOOKUP(E7,DATA!$A$5:$A$11,DATA!$W$5:$W$11)</f>
        <v>0.74439070623258063</v>
      </c>
      <c r="Q7" s="49">
        <f t="shared" si="2"/>
        <v>0.53585220364292629</v>
      </c>
      <c r="R7" s="53">
        <f t="shared" si="3"/>
        <v>4</v>
      </c>
      <c r="S7" s="54">
        <f t="shared" si="0"/>
        <v>0.7857142857142857</v>
      </c>
      <c r="T7" s="55" t="str">
        <f t="shared" si="1"/>
        <v>4</v>
      </c>
    </row>
    <row r="8" spans="1:20" s="4" customFormat="1" x14ac:dyDescent="0.35">
      <c r="A8" s="42">
        <v>5</v>
      </c>
      <c r="B8" s="39" t="s">
        <v>130</v>
      </c>
      <c r="C8" s="44">
        <v>0.09</v>
      </c>
      <c r="D8" s="9"/>
      <c r="E8" s="28" t="s">
        <v>14</v>
      </c>
      <c r="F8" s="47">
        <f>_xlfn.XLOOKUP(E8,DATA!$A$4:$A$11,DATA!$C$4:$C$11)</f>
        <v>0.41149418846551772</v>
      </c>
      <c r="G8" s="48">
        <f>_xlfn.XLOOKUP($E8,DATA!$A$4:$A$11,DATA!$E$4:$E$11)</f>
        <v>0.8495979012044983</v>
      </c>
      <c r="H8" s="48">
        <f>_xlfn.XLOOKUP($E8,DATA!$A$4:$A$11,DATA!$G$4:$G$11)</f>
        <v>3.3409404775714607E-2</v>
      </c>
      <c r="I8" s="48">
        <f>_xlfn.XLOOKUP(E8,DATA!$A$5:$A$11,DATA!$I$5:$I$11)</f>
        <v>0.42597218939460307</v>
      </c>
      <c r="J8" s="48">
        <f>_xlfn.XLOOKUP(E8,DATA!$A$5:$A$11,DATA!$K$5:$K$11)</f>
        <v>0.25308643338884113</v>
      </c>
      <c r="K8" s="48">
        <f>_xlfn.XLOOKUP(E8,DATA!$A$5:$A$11,DATA!$M$5:$M$11)</f>
        <v>0.20662526246642476</v>
      </c>
      <c r="L8" s="48">
        <f>_xlfn.XLOOKUP(E8,DATA!$A$5:$A$11,DATA!$O$5:$O$11)</f>
        <v>0.52486574449259293</v>
      </c>
      <c r="M8" s="48">
        <f>_xlfn.XLOOKUP(E8,DATA!$A$5:$A$11,DATA!$Q$5:$Q$11)</f>
        <v>0.42592594076249501</v>
      </c>
      <c r="N8" s="48">
        <f>_xlfn.XLOOKUP(E8,DATA!$A$5:$A$11,DATA!$S$5:$S$11)</f>
        <v>0</v>
      </c>
      <c r="O8" s="48">
        <f>_xlfn.XLOOKUP(E8,DATA!$A$5:$A$11,DATA!$U$5:$U$11)</f>
        <v>0</v>
      </c>
      <c r="P8" s="49">
        <f>_xlfn.XLOOKUP(E8,DATA!$A$5:$A$11,DATA!$W$5:$W$11)</f>
        <v>0.10692651498147972</v>
      </c>
      <c r="Q8" s="49">
        <f t="shared" si="2"/>
        <v>0.26858779661610793</v>
      </c>
      <c r="R8" s="53">
        <f t="shared" si="3"/>
        <v>6</v>
      </c>
      <c r="S8" s="54">
        <f t="shared" si="0"/>
        <v>0.6428571428571429</v>
      </c>
      <c r="T8" s="55" t="str">
        <f t="shared" si="1"/>
        <v>4</v>
      </c>
    </row>
    <row r="9" spans="1:20" s="4" customFormat="1" x14ac:dyDescent="0.35">
      <c r="A9" s="42">
        <v>6</v>
      </c>
      <c r="B9" s="39" t="s">
        <v>131</v>
      </c>
      <c r="C9" s="44">
        <v>0.1</v>
      </c>
      <c r="D9" s="9"/>
      <c r="E9" s="28" t="s">
        <v>16</v>
      </c>
      <c r="F9" s="47">
        <f>_xlfn.XLOOKUP(E9,DATA!$A$4:$A$11,DATA!$C$4:$C$11)</f>
        <v>0</v>
      </c>
      <c r="G9" s="48">
        <f>_xlfn.XLOOKUP($E9,DATA!$A$4:$A$11,DATA!$E$4:$E$11)</f>
        <v>0.51101347769416183</v>
      </c>
      <c r="H9" s="48">
        <f>_xlfn.XLOOKUP($E9,DATA!$A$4:$A$11,DATA!$G$4:$G$11)</f>
        <v>0.63937306821184869</v>
      </c>
      <c r="I9" s="48">
        <f>_xlfn.XLOOKUP(E9,DATA!$A$5:$A$11,DATA!$I$5:$I$11)</f>
        <v>0.48604699615626323</v>
      </c>
      <c r="J9" s="48">
        <f>_xlfn.XLOOKUP(E9,DATA!$A$5:$A$11,DATA!$K$5:$K$11)</f>
        <v>0.33333335829369887</v>
      </c>
      <c r="K9" s="48">
        <f>_xlfn.XLOOKUP(E9,DATA!$A$5:$A$11,DATA!$M$5:$M$11)</f>
        <v>1</v>
      </c>
      <c r="L9" s="48">
        <f>_xlfn.XLOOKUP(E9,DATA!$A$5:$A$11,DATA!$O$5:$O$11)</f>
        <v>0</v>
      </c>
      <c r="M9" s="48">
        <f>_xlfn.XLOOKUP(E9,DATA!$A$5:$A$11,DATA!$Q$5:$Q$11)</f>
        <v>0.24691357219606258</v>
      </c>
      <c r="N9" s="48">
        <f>_xlfn.XLOOKUP(E9,DATA!$A$5:$A$11,DATA!$S$5:$S$11)</f>
        <v>1</v>
      </c>
      <c r="O9" s="48">
        <f>_xlfn.XLOOKUP(E9,DATA!$A$5:$A$11,DATA!$U$5:$U$11)</f>
        <v>0.42693764542811735</v>
      </c>
      <c r="P9" s="49">
        <f>_xlfn.XLOOKUP(E9,DATA!$A$5:$A$11,DATA!$W$5:$W$11)</f>
        <v>0.19239254660247063</v>
      </c>
      <c r="Q9" s="49">
        <f t="shared" si="2"/>
        <v>0.39677137334987944</v>
      </c>
      <c r="R9" s="53">
        <f t="shared" si="3"/>
        <v>5</v>
      </c>
      <c r="S9" s="54">
        <f t="shared" si="0"/>
        <v>0.7142857142857143</v>
      </c>
      <c r="T9" s="55" t="str">
        <f t="shared" si="1"/>
        <v>4</v>
      </c>
    </row>
    <row r="10" spans="1:20" s="4" customFormat="1" x14ac:dyDescent="0.35">
      <c r="A10" s="42">
        <v>7</v>
      </c>
      <c r="B10" s="39" t="s">
        <v>132</v>
      </c>
      <c r="C10" s="44">
        <v>0.12</v>
      </c>
      <c r="D10" s="9"/>
      <c r="E10" s="28" t="s">
        <v>12</v>
      </c>
      <c r="F10" s="47">
        <f>_xlfn.XLOOKUP(E10,DATA!$A$4:$A$11,DATA!$C$4:$C$11)</f>
        <v>0.21851549532822509</v>
      </c>
      <c r="G10" s="48">
        <f>_xlfn.XLOOKUP($E10,DATA!$A$4:$A$11,DATA!$E$4:$E$11)</f>
        <v>0</v>
      </c>
      <c r="H10" s="48">
        <f>_xlfn.XLOOKUP($E10,DATA!$A$4:$A$11,DATA!$G$4:$G$11)</f>
        <v>0</v>
      </c>
      <c r="I10" s="48">
        <f>_xlfn.XLOOKUP(E10,DATA!$A$5:$A$11,DATA!$I$5:$I$11)</f>
        <v>0</v>
      </c>
      <c r="J10" s="48">
        <f>_xlfn.XLOOKUP(E10,DATA!$A$5:$A$11,DATA!$K$5:$K$11)</f>
        <v>5.555554515540418E-2</v>
      </c>
      <c r="K10" s="48">
        <f>_xlfn.XLOOKUP(E10,DATA!$A$5:$A$11,DATA!$M$5:$M$11)</f>
        <v>0.92774846719804405</v>
      </c>
      <c r="L10" s="48">
        <f>_xlfn.XLOOKUP(E10,DATA!$A$5:$A$11,DATA!$O$5:$O$11)</f>
        <v>0.26715287650651792</v>
      </c>
      <c r="M10" s="48">
        <f>_xlfn.XLOOKUP(E10,DATA!$A$5:$A$11,DATA!$Q$5:$Q$11)</f>
        <v>0</v>
      </c>
      <c r="N10" s="48">
        <f>_xlfn.XLOOKUP(E10,DATA!$A$5:$A$11,DATA!$S$5:$S$11)</f>
        <v>0.26666666666666572</v>
      </c>
      <c r="O10" s="48">
        <f>_xlfn.XLOOKUP(E10,DATA!$A$5:$A$11,DATA!$U$5:$U$11)</f>
        <v>0.13015035988225784</v>
      </c>
      <c r="P10" s="49">
        <f>_xlfn.XLOOKUP(E10,DATA!$A$5:$A$11,DATA!$W$5:$W$11)</f>
        <v>0.17223021659131835</v>
      </c>
      <c r="Q10" s="49">
        <f t="shared" si="2"/>
        <v>0.18682970641012953</v>
      </c>
      <c r="R10" s="53">
        <f t="shared" si="3"/>
        <v>7</v>
      </c>
      <c r="S10" s="54">
        <f t="shared" si="0"/>
        <v>0.5714285714285714</v>
      </c>
      <c r="T10" s="55" t="str">
        <f t="shared" si="1"/>
        <v>3</v>
      </c>
    </row>
    <row r="11" spans="1:20" s="4" customFormat="1" x14ac:dyDescent="0.35">
      <c r="A11" s="42">
        <v>8</v>
      </c>
      <c r="B11" s="39" t="s">
        <v>133</v>
      </c>
      <c r="C11" s="44">
        <v>0.09</v>
      </c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1"/>
      <c r="Q11" s="51"/>
      <c r="R11" s="11"/>
      <c r="S11" s="12"/>
      <c r="T11" s="11"/>
    </row>
    <row r="12" spans="1:20" s="4" customFormat="1" x14ac:dyDescent="0.35">
      <c r="A12" s="42">
        <v>9</v>
      </c>
      <c r="B12" s="39" t="s">
        <v>134</v>
      </c>
      <c r="C12" s="44">
        <v>0.08</v>
      </c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1"/>
      <c r="Q12" s="51"/>
      <c r="R12" s="11"/>
      <c r="S12" s="12"/>
      <c r="T12" s="11"/>
    </row>
    <row r="13" spans="1:20" s="4" customFormat="1" x14ac:dyDescent="0.35">
      <c r="A13" s="42">
        <v>10</v>
      </c>
      <c r="B13" s="39" t="s">
        <v>135</v>
      </c>
      <c r="C13" s="44">
        <v>0.1</v>
      </c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1"/>
      <c r="Q13" s="51"/>
      <c r="R13" s="11"/>
      <c r="S13" s="12"/>
      <c r="T13" s="11"/>
    </row>
    <row r="14" spans="1:20" s="4" customFormat="1" x14ac:dyDescent="0.35">
      <c r="A14" s="42">
        <v>11</v>
      </c>
      <c r="B14" s="39" t="s">
        <v>124</v>
      </c>
      <c r="C14" s="44">
        <v>0.03</v>
      </c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1"/>
      <c r="Q14" s="51"/>
      <c r="R14" s="11"/>
      <c r="S14" s="12"/>
      <c r="T14" s="11"/>
    </row>
    <row r="15" spans="1:20" s="4" customFormat="1" x14ac:dyDescent="0.35">
      <c r="C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1"/>
      <c r="Q15" s="11"/>
      <c r="R15" s="11"/>
      <c r="S15" s="12"/>
      <c r="T15" s="11"/>
    </row>
    <row r="16" spans="1:20" s="4" customFormat="1" x14ac:dyDescent="0.35">
      <c r="C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Q16" s="11"/>
      <c r="R16" s="11"/>
      <c r="S16" s="12"/>
      <c r="T16" s="11"/>
    </row>
    <row r="17" spans="2:20" s="4" customFormat="1" x14ac:dyDescent="0.35">
      <c r="B17" s="1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1"/>
      <c r="Q17" s="11"/>
      <c r="R17" s="11"/>
      <c r="S17" s="12"/>
      <c r="T17" s="11"/>
    </row>
    <row r="18" spans="2:20" s="4" customFormat="1" x14ac:dyDescent="0.35">
      <c r="B18" s="13"/>
    </row>
    <row r="19" spans="2:20" s="4" customFormat="1" x14ac:dyDescent="0.35">
      <c r="B19" s="13"/>
    </row>
    <row r="20" spans="2:20" x14ac:dyDescent="0.35">
      <c r="B20" s="13"/>
    </row>
    <row r="21" spans="2:20" s="4" customFormat="1" x14ac:dyDescent="0.35">
      <c r="B21" s="13"/>
    </row>
    <row r="22" spans="2:20" s="4" customFormat="1" x14ac:dyDescent="0.35">
      <c r="B22" s="13"/>
    </row>
    <row r="23" spans="2:20" s="4" customFormat="1" x14ac:dyDescent="0.35">
      <c r="B23" s="13"/>
    </row>
    <row r="24" spans="2:20" s="4" customFormat="1" x14ac:dyDescent="0.35">
      <c r="B24" s="13"/>
    </row>
    <row r="25" spans="2:20" s="4" customFormat="1" x14ac:dyDescent="0.35">
      <c r="B25" s="13"/>
    </row>
    <row r="26" spans="2:20" s="4" customFormat="1" x14ac:dyDescent="0.35">
      <c r="B26" s="13"/>
    </row>
    <row r="27" spans="2:20" s="4" customFormat="1" x14ac:dyDescent="0.35"/>
    <row r="28" spans="2:20" s="4" customFormat="1" x14ac:dyDescent="0.35"/>
    <row r="29" spans="2:20" s="4" customFormat="1" x14ac:dyDescent="0.35"/>
    <row r="30" spans="2:20" s="4" customFormat="1" x14ac:dyDescent="0.35"/>
  </sheetData>
  <sortState xmlns:xlrd2="http://schemas.microsoft.com/office/spreadsheetml/2017/richdata2" ref="A1:T14">
    <sortCondition descending="1" ref="P3:P29"/>
  </sortState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8863-5197-4039-9089-5D007A662261}">
  <dimension ref="A1:W12"/>
  <sheetViews>
    <sheetView zoomScale="106" zoomScaleNormal="70" workbookViewId="0">
      <pane xSplit="1" topLeftCell="B1" activePane="topRight" state="frozen"/>
      <selection pane="topRight" activeCell="D15" sqref="D15"/>
    </sheetView>
  </sheetViews>
  <sheetFormatPr defaultRowHeight="14.5" x14ac:dyDescent="0.35"/>
  <cols>
    <col min="1" max="1" width="10.81640625" bestFit="1" customWidth="1"/>
    <col min="2" max="2" width="21.26953125" bestFit="1" customWidth="1"/>
    <col min="3" max="3" width="26.7265625" bestFit="1" customWidth="1"/>
    <col min="4" max="4" width="34" bestFit="1" customWidth="1"/>
    <col min="5" max="5" width="39.453125" bestFit="1" customWidth="1"/>
    <col min="6" max="6" width="32.08984375" bestFit="1" customWidth="1"/>
    <col min="7" max="7" width="37.54296875" bestFit="1" customWidth="1"/>
    <col min="8" max="8" width="44.54296875" bestFit="1" customWidth="1"/>
    <col min="9" max="9" width="50.90625" bestFit="1" customWidth="1"/>
    <col min="10" max="10" width="37.1796875" bestFit="1" customWidth="1"/>
    <col min="11" max="11" width="42.6328125" bestFit="1" customWidth="1"/>
    <col min="12" max="12" width="61.81640625" bestFit="1" customWidth="1"/>
    <col min="13" max="13" width="68.1796875" bestFit="1" customWidth="1"/>
    <col min="14" max="14" width="53.08984375" bestFit="1" customWidth="1"/>
    <col min="15" max="15" width="62.08984375" bestFit="1" customWidth="1"/>
    <col min="16" max="16" width="57.08984375" bestFit="1" customWidth="1"/>
    <col min="17" max="17" width="65.90625" bestFit="1" customWidth="1"/>
    <col min="18" max="18" width="30.6328125" bestFit="1" customWidth="1"/>
    <col min="19" max="19" width="36.26953125" bestFit="1" customWidth="1"/>
    <col min="20" max="20" width="51.453125" bestFit="1" customWidth="1"/>
    <col min="21" max="21" width="56.90625" bestFit="1" customWidth="1"/>
    <col min="22" max="22" width="41.81640625" bestFit="1" customWidth="1"/>
    <col min="23" max="23" width="48" bestFit="1" customWidth="1"/>
  </cols>
  <sheetData>
    <row r="1" spans="1:23" x14ac:dyDescent="0.35">
      <c r="A1" s="63" t="s">
        <v>23</v>
      </c>
      <c r="B1" s="63"/>
      <c r="C1" s="63"/>
      <c r="D1" s="63"/>
    </row>
    <row r="2" spans="1:23" x14ac:dyDescent="0.35">
      <c r="A2" s="63"/>
      <c r="B2" s="63"/>
      <c r="C2" s="63"/>
      <c r="D2" s="63"/>
    </row>
    <row r="3" spans="1:23" s="3" customFormat="1" x14ac:dyDescent="0.35">
      <c r="A3" s="14" t="s">
        <v>19</v>
      </c>
      <c r="B3" s="14">
        <v>2023</v>
      </c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"/>
      <c r="V3" s="2"/>
      <c r="W3" s="2"/>
    </row>
    <row r="4" spans="1:23" s="3" customFormat="1" x14ac:dyDescent="0.35">
      <c r="A4" s="27" t="s">
        <v>3</v>
      </c>
      <c r="B4" s="33" t="s">
        <v>7</v>
      </c>
      <c r="C4" s="29" t="s">
        <v>20</v>
      </c>
      <c r="D4" s="33" t="s">
        <v>8</v>
      </c>
      <c r="E4" s="29" t="s">
        <v>21</v>
      </c>
      <c r="F4" s="33" t="s">
        <v>18</v>
      </c>
      <c r="G4" s="29" t="s">
        <v>22</v>
      </c>
      <c r="H4" s="35" t="s">
        <v>89</v>
      </c>
      <c r="I4" s="31" t="s">
        <v>115</v>
      </c>
      <c r="J4" s="35" t="s">
        <v>97</v>
      </c>
      <c r="K4" s="31" t="s">
        <v>116</v>
      </c>
      <c r="L4" s="35" t="s">
        <v>95</v>
      </c>
      <c r="M4" s="31" t="s">
        <v>117</v>
      </c>
      <c r="N4" s="35" t="s">
        <v>93</v>
      </c>
      <c r="O4" s="31" t="s">
        <v>118</v>
      </c>
      <c r="P4" s="35" t="s">
        <v>99</v>
      </c>
      <c r="Q4" s="31" t="s">
        <v>119</v>
      </c>
      <c r="R4" s="35" t="s">
        <v>120</v>
      </c>
      <c r="S4" s="31" t="s">
        <v>123</v>
      </c>
      <c r="T4" s="35" t="s">
        <v>121</v>
      </c>
      <c r="U4" s="31" t="s">
        <v>122</v>
      </c>
      <c r="V4" s="35" t="s">
        <v>124</v>
      </c>
      <c r="W4" s="31" t="s">
        <v>125</v>
      </c>
    </row>
    <row r="5" spans="1:23" s="3" customFormat="1" x14ac:dyDescent="0.35">
      <c r="A5" s="27" t="s">
        <v>11</v>
      </c>
      <c r="B5" s="34">
        <v>8.15</v>
      </c>
      <c r="C5" s="30">
        <f t="shared" ref="C5:C11" si="0">(B5-MIN($B$5:$B$11))/(MAX($B$5:$B$11)-MIN($B$5:$B$11))</f>
        <v>1</v>
      </c>
      <c r="D5" s="34">
        <v>5.6491431890792914</v>
      </c>
      <c r="E5" s="30">
        <f>(MAX($D$5:$D$11)-D5)/(MAX($D$5:$D$11)-MIN($D$5:$D$11))</f>
        <v>0.90224091287335972</v>
      </c>
      <c r="F5" s="34">
        <v>29.506488955632015</v>
      </c>
      <c r="G5" s="30">
        <f>(F5-MIN($F$5:$F$11))/(MAX($F$5:$F$11)-MIN($F$5:$F$11))</f>
        <v>0.92149391145833526</v>
      </c>
      <c r="H5" s="36">
        <v>47.013218112062191</v>
      </c>
      <c r="I5" s="30">
        <f>(MAX($H$5:$H$11)-H5)/(MAX($H$5:$H$11)-MIN($H$5:$H$11))</f>
        <v>0.61088906222102324</v>
      </c>
      <c r="J5" s="36">
        <v>41.509433746337898</v>
      </c>
      <c r="K5" s="30">
        <f>(J5-MIN($J$5:$J$11))/(MAX($J$5:$J$11)-MIN($J$5:$J$11))</f>
        <v>0.35185185254519546</v>
      </c>
      <c r="L5" s="36">
        <v>25.029208770555101</v>
      </c>
      <c r="M5" s="30">
        <f>(L5-MIN($L$5:$L$11))/(MAX($L$5:$L$11)-MIN($L$5:$L$11))</f>
        <v>0.87721855968322204</v>
      </c>
      <c r="N5" s="36">
        <v>10.818716260409573</v>
      </c>
      <c r="O5" s="30">
        <f>(N5-MIN($N$5:$N$11))/(MAX($N$5:$N$11)-MIN($N$5:$N$11))</f>
        <v>1</v>
      </c>
      <c r="P5" s="36">
        <v>21.3270149230957</v>
      </c>
      <c r="Q5" s="30">
        <f>(P5-MIN($P$5:$P$11))/(MAX($P$5:$P$11)-MIN($P$5:$P$11))</f>
        <v>0.1913580300969295</v>
      </c>
      <c r="R5" s="36">
        <v>99.5</v>
      </c>
      <c r="S5" s="30">
        <f>(R5-MIN($R$5:$R$11))/(MAX($R$5:$R$11)-MIN($R$5:$R$11))</f>
        <v>0.91666666666666663</v>
      </c>
      <c r="T5" s="36">
        <v>10.523697615357179</v>
      </c>
      <c r="U5" s="32">
        <f>(T5-MIN($T$5:$T$11))/(MAX($T$5:$T$11)-MIN($T$5:$T$11))</f>
        <v>1</v>
      </c>
      <c r="V5" s="36">
        <v>483.67901008680911</v>
      </c>
      <c r="W5" s="32">
        <f>(V5-MIN($V$5:$V$11))/(MAX($V$5:$V$11)-MIN($V$5:$V$11))</f>
        <v>0.26544607374030471</v>
      </c>
    </row>
    <row r="6" spans="1:23" s="3" customFormat="1" x14ac:dyDescent="0.35">
      <c r="A6" s="27" t="s">
        <v>12</v>
      </c>
      <c r="B6" s="34">
        <v>-3.983897166735062E-2</v>
      </c>
      <c r="C6" s="30">
        <f t="shared" si="0"/>
        <v>0.21851549532822509</v>
      </c>
      <c r="D6" s="34">
        <v>30.768128065700541</v>
      </c>
      <c r="E6" s="30">
        <f t="shared" ref="E6:E11" si="1">(MAX($D$5:$D$11)-D6)/(MAX($D$5:$D$11)-MIN($D$5:$D$11))</f>
        <v>0</v>
      </c>
      <c r="F6" s="34">
        <v>6.3829386425442722</v>
      </c>
      <c r="G6" s="30">
        <f t="shared" ref="G6:G11" si="2">(F6-MIN($F$5:$F$11))/(MAX($F$5:$F$11)-MIN($F$5:$F$11))</f>
        <v>0</v>
      </c>
      <c r="H6" s="36">
        <v>70.167386251940457</v>
      </c>
      <c r="I6" s="30">
        <f t="shared" ref="I6:I11" si="3">(MAX($H$5:$H$11)-H6)/(MAX($H$5:$H$11)-MIN($H$5:$H$11))</f>
        <v>0</v>
      </c>
      <c r="J6" s="36">
        <v>18.867923736572301</v>
      </c>
      <c r="K6" s="30">
        <f t="shared" ref="K6:K11" si="4">(J6-MIN($J$5:$J$11))/(MAX($J$5:$J$11)-MIN($J$5:$J$11))</f>
        <v>5.555554515540418E-2</v>
      </c>
      <c r="L6" s="36">
        <v>25.592232070099499</v>
      </c>
      <c r="M6" s="30">
        <f t="shared" ref="M6:M11" si="5">(L6-MIN($L$5:$L$11))/(MAX($L$5:$L$11)-MIN($L$5:$L$11))</f>
        <v>0.92774846719804405</v>
      </c>
      <c r="N6" s="36">
        <v>-3.8788894498653406</v>
      </c>
      <c r="O6" s="30">
        <f t="shared" ref="O6:O11" si="6">(N6-MIN($N$5:$N$11))/(MAX($N$5:$N$11)-MIN($N$5:$N$11))</f>
        <v>0.26715287650651792</v>
      </c>
      <c r="P6" s="36">
        <v>6.63507127761841</v>
      </c>
      <c r="Q6" s="30">
        <f t="shared" ref="Q6:Q11" si="7">(P6-MIN($P$5:$P$11))/(MAX($P$5:$P$11)-MIN($P$5:$P$11))</f>
        <v>0</v>
      </c>
      <c r="R6" s="36">
        <v>95.6</v>
      </c>
      <c r="S6" s="30">
        <f t="shared" ref="S6:S11" si="8">(R6-MIN($R$5:$R$11))/(MAX($R$5:$R$11)-MIN($R$5:$R$11))</f>
        <v>0.26666666666666572</v>
      </c>
      <c r="T6" s="36">
        <v>-14.128306555816934</v>
      </c>
      <c r="U6" s="32">
        <f t="shared" ref="U6:U11" si="9">(T6-MIN($T$5:$T$11))/(MAX($T$5:$T$11)-MIN($T$5:$T$11))</f>
        <v>0.13015035988225784</v>
      </c>
      <c r="V6" s="36">
        <v>321.067474833956</v>
      </c>
      <c r="W6" s="32">
        <f t="shared" ref="W6:W11" si="10">(V6-MIN($V$5:$V$11))/(MAX($V$5:$V$11)-MIN($V$5:$V$11))</f>
        <v>0.17223021659131835</v>
      </c>
    </row>
    <row r="7" spans="1:23" s="3" customFormat="1" x14ac:dyDescent="0.35">
      <c r="A7" s="27" t="s">
        <v>13</v>
      </c>
      <c r="B7" s="34">
        <v>5.7751123700788867</v>
      </c>
      <c r="C7" s="30">
        <f t="shared" si="0"/>
        <v>0.77338530225800262</v>
      </c>
      <c r="D7" s="34">
        <v>9.8835030377920763</v>
      </c>
      <c r="E7" s="30">
        <f t="shared" si="1"/>
        <v>0.75014827401466688</v>
      </c>
      <c r="F7" s="34">
        <v>25.759514079509859</v>
      </c>
      <c r="G7" s="30">
        <f t="shared" si="2"/>
        <v>0.77217365189682441</v>
      </c>
      <c r="H7" s="36">
        <v>53.095819308083328</v>
      </c>
      <c r="I7" s="30">
        <f t="shared" si="3"/>
        <v>0.45040847323790451</v>
      </c>
      <c r="J7" s="36">
        <v>14.622641563415501</v>
      </c>
      <c r="K7" s="30">
        <f t="shared" si="4"/>
        <v>0</v>
      </c>
      <c r="L7" s="36">
        <v>20.87636272368</v>
      </c>
      <c r="M7" s="30">
        <f t="shared" si="5"/>
        <v>0.50451120131688199</v>
      </c>
      <c r="N7" s="36">
        <v>8.3673514620538754</v>
      </c>
      <c r="O7" s="30">
        <f t="shared" si="6"/>
        <v>0.87777086441689889</v>
      </c>
      <c r="P7" s="36">
        <v>15.6398105621338</v>
      </c>
      <c r="Q7" s="30">
        <f t="shared" si="7"/>
        <v>0.11728394912212591</v>
      </c>
      <c r="R7" s="36">
        <v>99.5</v>
      </c>
      <c r="S7" s="30">
        <f t="shared" si="8"/>
        <v>0.91666666666666663</v>
      </c>
      <c r="T7" s="36">
        <v>2.2109555960770706</v>
      </c>
      <c r="U7" s="32">
        <f t="shared" si="9"/>
        <v>0.70668365932220878</v>
      </c>
      <c r="V7" s="36">
        <v>1319.1797968918295</v>
      </c>
      <c r="W7" s="32">
        <f t="shared" si="10"/>
        <v>0.74439070623258063</v>
      </c>
    </row>
    <row r="8" spans="1:23" s="3" customFormat="1" x14ac:dyDescent="0.35">
      <c r="A8" s="27" t="s">
        <v>14</v>
      </c>
      <c r="B8" s="34">
        <v>1.9825484362839205</v>
      </c>
      <c r="C8" s="30">
        <f t="shared" si="0"/>
        <v>0.41149418846551772</v>
      </c>
      <c r="D8" s="34">
        <v>7.11475951738199</v>
      </c>
      <c r="E8" s="30">
        <f t="shared" si="1"/>
        <v>0.8495979012044983</v>
      </c>
      <c r="F8" s="34">
        <v>7.2212990946919593</v>
      </c>
      <c r="G8" s="30">
        <f t="shared" si="2"/>
        <v>3.3409404775714607E-2</v>
      </c>
      <c r="H8" s="36">
        <v>54.022013374751495</v>
      </c>
      <c r="I8" s="30">
        <f t="shared" si="3"/>
        <v>0.42597218939460307</v>
      </c>
      <c r="J8" s="36">
        <v>33.962265014648402</v>
      </c>
      <c r="K8" s="30">
        <f t="shared" si="4"/>
        <v>0.25308643338884113</v>
      </c>
      <c r="L8" s="36">
        <v>17.5572051706948</v>
      </c>
      <c r="M8" s="30">
        <f t="shared" si="5"/>
        <v>0.20662526246642476</v>
      </c>
      <c r="N8" s="36">
        <v>1.2896675365729777</v>
      </c>
      <c r="O8" s="30">
        <f t="shared" si="6"/>
        <v>0.52486574449259293</v>
      </c>
      <c r="P8" s="36">
        <v>39.336494445800803</v>
      </c>
      <c r="Q8" s="30">
        <f t="shared" si="7"/>
        <v>0.42592594076249501</v>
      </c>
      <c r="R8" s="36">
        <v>94</v>
      </c>
      <c r="S8" s="30">
        <f t="shared" si="8"/>
        <v>0</v>
      </c>
      <c r="T8" s="36">
        <v>-17.816837385424378</v>
      </c>
      <c r="U8" s="32">
        <f t="shared" si="9"/>
        <v>0</v>
      </c>
      <c r="V8" s="36">
        <v>207.14763864666898</v>
      </c>
      <c r="W8" s="32">
        <f t="shared" si="10"/>
        <v>0.10692651498147972</v>
      </c>
    </row>
    <row r="9" spans="1:23" s="3" customFormat="1" x14ac:dyDescent="0.35">
      <c r="A9" s="27" t="s">
        <v>15</v>
      </c>
      <c r="B9" s="34">
        <v>4.8825939625363191</v>
      </c>
      <c r="C9" s="30">
        <f t="shared" si="0"/>
        <v>0.68822009839480092</v>
      </c>
      <c r="D9" s="34">
        <v>4.2293441992925498</v>
      </c>
      <c r="E9" s="30">
        <f t="shared" si="1"/>
        <v>0.9532382259787201</v>
      </c>
      <c r="F9" s="34">
        <v>20.275860502373039</v>
      </c>
      <c r="G9" s="30">
        <f t="shared" si="2"/>
        <v>0.55364521160717495</v>
      </c>
      <c r="H9" s="36">
        <v>38.562162905064554</v>
      </c>
      <c r="I9" s="30">
        <f t="shared" si="3"/>
        <v>0.83385786675731199</v>
      </c>
      <c r="J9" s="36">
        <v>91.037734985351605</v>
      </c>
      <c r="K9" s="30">
        <f t="shared" si="4"/>
        <v>1</v>
      </c>
      <c r="L9" s="36">
        <v>15.2549085158088</v>
      </c>
      <c r="M9" s="30">
        <f t="shared" si="5"/>
        <v>0</v>
      </c>
      <c r="N9" s="36">
        <v>-0.78695693690916357</v>
      </c>
      <c r="O9" s="30">
        <f t="shared" si="6"/>
        <v>0.42132178624749944</v>
      </c>
      <c r="P9" s="36">
        <v>83.412322998046903</v>
      </c>
      <c r="Q9" s="30">
        <f t="shared" si="7"/>
        <v>1</v>
      </c>
      <c r="R9" s="36">
        <v>100</v>
      </c>
      <c r="S9" s="30">
        <f t="shared" si="8"/>
        <v>1</v>
      </c>
      <c r="T9" s="36">
        <v>-12.511787689626217</v>
      </c>
      <c r="U9" s="32">
        <f t="shared" si="9"/>
        <v>0.18718946892328819</v>
      </c>
      <c r="V9" s="36">
        <v>20.618379653906661</v>
      </c>
      <c r="W9" s="32">
        <f t="shared" si="10"/>
        <v>0</v>
      </c>
    </row>
    <row r="10" spans="1:23" s="3" customFormat="1" x14ac:dyDescent="0.35">
      <c r="A10" s="27" t="s">
        <v>16</v>
      </c>
      <c r="B10" s="34">
        <v>-2.3298481898333989</v>
      </c>
      <c r="C10" s="30">
        <f t="shared" si="0"/>
        <v>0</v>
      </c>
      <c r="D10" s="34">
        <v>16.541174227983159</v>
      </c>
      <c r="E10" s="30">
        <f t="shared" si="1"/>
        <v>0.51101347769416183</v>
      </c>
      <c r="F10" s="34">
        <v>22.427076458096664</v>
      </c>
      <c r="G10" s="30">
        <f t="shared" si="2"/>
        <v>0.63937306821184869</v>
      </c>
      <c r="H10" s="36">
        <v>51.745033375022985</v>
      </c>
      <c r="I10" s="30">
        <f t="shared" si="3"/>
        <v>0.48604699615626323</v>
      </c>
      <c r="J10" s="36">
        <v>40.0943412780762</v>
      </c>
      <c r="K10" s="30">
        <f t="shared" si="4"/>
        <v>0.33333335829369887</v>
      </c>
      <c r="L10" s="36">
        <v>26.397285916346199</v>
      </c>
      <c r="M10" s="30">
        <f t="shared" si="5"/>
        <v>1</v>
      </c>
      <c r="N10" s="36">
        <v>-9.2367704012715564</v>
      </c>
      <c r="O10" s="30">
        <f t="shared" si="6"/>
        <v>0</v>
      </c>
      <c r="P10" s="36">
        <v>25.5924167633057</v>
      </c>
      <c r="Q10" s="30">
        <f t="shared" si="7"/>
        <v>0.24691357219606258</v>
      </c>
      <c r="R10" s="36">
        <v>100</v>
      </c>
      <c r="S10" s="30">
        <f t="shared" si="8"/>
        <v>1</v>
      </c>
      <c r="T10" s="36">
        <v>-5.717196102017553</v>
      </c>
      <c r="U10" s="32">
        <f t="shared" si="9"/>
        <v>0.42693764542811735</v>
      </c>
      <c r="V10" s="36">
        <v>356.2398965405755</v>
      </c>
      <c r="W10" s="32">
        <f t="shared" si="10"/>
        <v>0.19239254660247063</v>
      </c>
    </row>
    <row r="11" spans="1:23" s="3" customFormat="1" x14ac:dyDescent="0.35">
      <c r="A11" s="27" t="s">
        <v>17</v>
      </c>
      <c r="B11" s="34">
        <v>4.7263919504302123</v>
      </c>
      <c r="C11" s="30">
        <f t="shared" si="0"/>
        <v>0.67331511033804259</v>
      </c>
      <c r="D11" s="34">
        <v>2.9274654242503688</v>
      </c>
      <c r="E11" s="30">
        <f t="shared" si="1"/>
        <v>1</v>
      </c>
      <c r="F11" s="34">
        <v>31.4764851386822</v>
      </c>
      <c r="G11" s="30">
        <f t="shared" si="2"/>
        <v>1</v>
      </c>
      <c r="H11" s="36">
        <v>32.264975533214979</v>
      </c>
      <c r="I11" s="30">
        <f t="shared" si="3"/>
        <v>1</v>
      </c>
      <c r="J11" s="36">
        <v>39.622642517089801</v>
      </c>
      <c r="K11" s="30">
        <f t="shared" si="4"/>
        <v>0.32716051023628895</v>
      </c>
      <c r="L11" s="36">
        <v>25.004699027301299</v>
      </c>
      <c r="M11" s="30">
        <f t="shared" si="5"/>
        <v>0.87501887263505052</v>
      </c>
      <c r="N11" s="36">
        <v>3.221745262942278</v>
      </c>
      <c r="O11" s="30">
        <f t="shared" si="6"/>
        <v>0.62120236094881742</v>
      </c>
      <c r="P11" s="36">
        <v>62.559242248535199</v>
      </c>
      <c r="Q11" s="30">
        <f t="shared" si="7"/>
        <v>0.72839506126834674</v>
      </c>
      <c r="R11" s="36">
        <v>100</v>
      </c>
      <c r="S11" s="30">
        <f t="shared" si="8"/>
        <v>1</v>
      </c>
      <c r="T11" s="36">
        <v>-15.358415197186986</v>
      </c>
      <c r="U11" s="32">
        <f t="shared" si="9"/>
        <v>8.6745793195844592E-2</v>
      </c>
      <c r="V11" s="36">
        <v>1765.0805369127518</v>
      </c>
      <c r="W11" s="32">
        <f t="shared" si="10"/>
        <v>1</v>
      </c>
    </row>
    <row r="12" spans="1:2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</sheetData>
  <mergeCells count="1">
    <mergeCell ref="A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93B4-1796-49CE-B506-1AB07660849D}">
  <dimension ref="A1:E78"/>
  <sheetViews>
    <sheetView workbookViewId="0">
      <selection activeCell="E63" sqref="E63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59.36328125" bestFit="1" customWidth="1"/>
    <col min="4" max="4" width="18.1796875" bestFit="1" customWidth="1"/>
    <col min="5" max="5" width="12.453125" bestFit="1" customWidth="1"/>
  </cols>
  <sheetData>
    <row r="1" spans="1:5" x14ac:dyDescent="0.35">
      <c r="A1" t="s">
        <v>82</v>
      </c>
      <c r="B1" s="26" t="s">
        <v>83</v>
      </c>
      <c r="C1" t="s">
        <v>84</v>
      </c>
      <c r="D1" s="26" t="s">
        <v>85</v>
      </c>
      <c r="E1" t="s">
        <v>86</v>
      </c>
    </row>
    <row r="2" spans="1:5" x14ac:dyDescent="0.35">
      <c r="A2" t="s">
        <v>11</v>
      </c>
      <c r="B2" s="26" t="s">
        <v>87</v>
      </c>
      <c r="C2" t="s">
        <v>9</v>
      </c>
      <c r="D2" s="26" t="s">
        <v>88</v>
      </c>
      <c r="E2">
        <v>4.1719999999999997</v>
      </c>
    </row>
    <row r="3" spans="1:5" x14ac:dyDescent="0.35">
      <c r="A3" t="s">
        <v>11</v>
      </c>
      <c r="B3" s="26" t="s">
        <v>87</v>
      </c>
      <c r="C3" t="s">
        <v>89</v>
      </c>
      <c r="D3" s="26" t="s">
        <v>90</v>
      </c>
      <c r="E3">
        <v>47.013218112062191</v>
      </c>
    </row>
    <row r="4" spans="1:5" x14ac:dyDescent="0.35">
      <c r="A4" t="s">
        <v>11</v>
      </c>
      <c r="B4" s="26" t="s">
        <v>87</v>
      </c>
      <c r="C4" t="s">
        <v>10</v>
      </c>
      <c r="D4" s="26" t="s">
        <v>91</v>
      </c>
      <c r="E4" t="s">
        <v>92</v>
      </c>
    </row>
    <row r="5" spans="1:5" x14ac:dyDescent="0.35">
      <c r="A5" t="s">
        <v>11</v>
      </c>
      <c r="B5" s="26" t="s">
        <v>87</v>
      </c>
      <c r="C5" t="s">
        <v>93</v>
      </c>
      <c r="D5" s="26" t="s">
        <v>94</v>
      </c>
      <c r="E5">
        <v>10.818716260409573</v>
      </c>
    </row>
    <row r="6" spans="1:5" x14ac:dyDescent="0.35">
      <c r="A6" t="s">
        <v>11</v>
      </c>
      <c r="B6" s="26" t="s">
        <v>87</v>
      </c>
      <c r="C6" t="s">
        <v>95</v>
      </c>
      <c r="D6" s="26" t="s">
        <v>96</v>
      </c>
      <c r="E6">
        <v>25.029208770555101</v>
      </c>
    </row>
    <row r="7" spans="1:5" x14ac:dyDescent="0.35">
      <c r="A7" t="s">
        <v>11</v>
      </c>
      <c r="B7" s="26" t="s">
        <v>87</v>
      </c>
      <c r="C7" t="s">
        <v>97</v>
      </c>
      <c r="D7" s="26" t="s">
        <v>98</v>
      </c>
      <c r="E7">
        <v>41.509433746337898</v>
      </c>
    </row>
    <row r="8" spans="1:5" x14ac:dyDescent="0.35">
      <c r="A8" t="s">
        <v>11</v>
      </c>
      <c r="B8" s="26" t="s">
        <v>87</v>
      </c>
      <c r="C8" t="s">
        <v>99</v>
      </c>
      <c r="D8" s="26" t="s">
        <v>100</v>
      </c>
      <c r="E8">
        <v>21.3270149230957</v>
      </c>
    </row>
    <row r="9" spans="1:5" x14ac:dyDescent="0.35">
      <c r="A9" t="s">
        <v>11</v>
      </c>
      <c r="B9" s="26" t="s">
        <v>87</v>
      </c>
      <c r="C9" t="s">
        <v>101</v>
      </c>
      <c r="D9" s="26" t="s">
        <v>102</v>
      </c>
      <c r="E9" t="s">
        <v>92</v>
      </c>
    </row>
    <row r="10" spans="1:5" x14ac:dyDescent="0.35">
      <c r="A10" t="s">
        <v>11</v>
      </c>
      <c r="B10" s="26" t="s">
        <v>87</v>
      </c>
      <c r="C10" t="s">
        <v>103</v>
      </c>
      <c r="D10" s="26" t="s">
        <v>104</v>
      </c>
      <c r="E10" t="s">
        <v>92</v>
      </c>
    </row>
    <row r="11" spans="1:5" x14ac:dyDescent="0.35">
      <c r="A11" t="s">
        <v>11</v>
      </c>
      <c r="B11" s="26" t="s">
        <v>87</v>
      </c>
      <c r="C11" t="s">
        <v>105</v>
      </c>
      <c r="D11" s="26" t="s">
        <v>106</v>
      </c>
      <c r="E11" t="s">
        <v>92</v>
      </c>
    </row>
    <row r="12" spans="1:5" x14ac:dyDescent="0.35">
      <c r="A12" t="s">
        <v>11</v>
      </c>
      <c r="B12" s="26" t="s">
        <v>87</v>
      </c>
      <c r="C12" t="s">
        <v>107</v>
      </c>
      <c r="D12" s="26" t="s">
        <v>108</v>
      </c>
      <c r="E12" t="s">
        <v>92</v>
      </c>
    </row>
    <row r="13" spans="1:5" x14ac:dyDescent="0.35">
      <c r="A13" t="s">
        <v>17</v>
      </c>
      <c r="B13" s="26" t="s">
        <v>109</v>
      </c>
      <c r="C13" t="s">
        <v>9</v>
      </c>
      <c r="D13" s="26" t="s">
        <v>88</v>
      </c>
      <c r="E13" t="s">
        <v>92</v>
      </c>
    </row>
    <row r="14" spans="1:5" x14ac:dyDescent="0.35">
      <c r="A14" t="s">
        <v>17</v>
      </c>
      <c r="B14" s="26" t="s">
        <v>109</v>
      </c>
      <c r="C14" t="s">
        <v>89</v>
      </c>
      <c r="D14" s="26" t="s">
        <v>90</v>
      </c>
      <c r="E14">
        <v>32.264975533214979</v>
      </c>
    </row>
    <row r="15" spans="1:5" x14ac:dyDescent="0.35">
      <c r="A15" t="s">
        <v>17</v>
      </c>
      <c r="B15" s="26" t="s">
        <v>109</v>
      </c>
      <c r="C15" t="s">
        <v>10</v>
      </c>
      <c r="D15" s="26" t="s">
        <v>91</v>
      </c>
      <c r="E15" t="s">
        <v>92</v>
      </c>
    </row>
    <row r="16" spans="1:5" x14ac:dyDescent="0.35">
      <c r="A16" t="s">
        <v>17</v>
      </c>
      <c r="B16" s="26" t="s">
        <v>109</v>
      </c>
      <c r="C16" t="s">
        <v>93</v>
      </c>
      <c r="D16" s="26" t="s">
        <v>94</v>
      </c>
      <c r="E16">
        <v>3.221745262942278</v>
      </c>
    </row>
    <row r="17" spans="1:5" x14ac:dyDescent="0.35">
      <c r="A17" t="s">
        <v>17</v>
      </c>
      <c r="B17" s="26" t="s">
        <v>109</v>
      </c>
      <c r="C17" t="s">
        <v>95</v>
      </c>
      <c r="D17" s="26" t="s">
        <v>96</v>
      </c>
      <c r="E17">
        <v>25.004699027301299</v>
      </c>
    </row>
    <row r="18" spans="1:5" x14ac:dyDescent="0.35">
      <c r="A18" t="s">
        <v>17</v>
      </c>
      <c r="B18" s="26" t="s">
        <v>109</v>
      </c>
      <c r="C18" t="s">
        <v>97</v>
      </c>
      <c r="D18" s="26" t="s">
        <v>98</v>
      </c>
      <c r="E18">
        <v>39.622642517089801</v>
      </c>
    </row>
    <row r="19" spans="1:5" x14ac:dyDescent="0.35">
      <c r="A19" t="s">
        <v>17</v>
      </c>
      <c r="B19" s="26" t="s">
        <v>109</v>
      </c>
      <c r="C19" t="s">
        <v>99</v>
      </c>
      <c r="D19" s="26" t="s">
        <v>100</v>
      </c>
      <c r="E19">
        <v>62.559242248535199</v>
      </c>
    </row>
    <row r="20" spans="1:5" x14ac:dyDescent="0.35">
      <c r="A20" t="s">
        <v>17</v>
      </c>
      <c r="B20" s="26" t="s">
        <v>109</v>
      </c>
      <c r="C20" t="s">
        <v>101</v>
      </c>
      <c r="D20" s="26" t="s">
        <v>102</v>
      </c>
      <c r="E20" t="s">
        <v>92</v>
      </c>
    </row>
    <row r="21" spans="1:5" x14ac:dyDescent="0.35">
      <c r="A21" t="s">
        <v>17</v>
      </c>
      <c r="B21" s="26" t="s">
        <v>109</v>
      </c>
      <c r="C21" t="s">
        <v>103</v>
      </c>
      <c r="D21" s="26" t="s">
        <v>104</v>
      </c>
      <c r="E21" t="s">
        <v>92</v>
      </c>
    </row>
    <row r="22" spans="1:5" x14ac:dyDescent="0.35">
      <c r="A22" t="s">
        <v>17</v>
      </c>
      <c r="B22" s="26" t="s">
        <v>109</v>
      </c>
      <c r="C22" t="s">
        <v>105</v>
      </c>
      <c r="D22" s="26" t="s">
        <v>106</v>
      </c>
      <c r="E22">
        <v>9.3434576700760381</v>
      </c>
    </row>
    <row r="23" spans="1:5" x14ac:dyDescent="0.35">
      <c r="A23" t="s">
        <v>17</v>
      </c>
      <c r="B23" s="26" t="s">
        <v>109</v>
      </c>
      <c r="C23" t="s">
        <v>107</v>
      </c>
      <c r="D23" s="26" t="s">
        <v>108</v>
      </c>
      <c r="E23">
        <v>11.681837230160699</v>
      </c>
    </row>
    <row r="24" spans="1:5" x14ac:dyDescent="0.35">
      <c r="A24" t="s">
        <v>15</v>
      </c>
      <c r="B24" s="26" t="s">
        <v>110</v>
      </c>
      <c r="C24" t="s">
        <v>9</v>
      </c>
      <c r="D24" s="26" t="s">
        <v>88</v>
      </c>
      <c r="E24">
        <v>3.1259999999999999</v>
      </c>
    </row>
    <row r="25" spans="1:5" x14ac:dyDescent="0.35">
      <c r="A25" t="s">
        <v>15</v>
      </c>
      <c r="B25" s="26" t="s">
        <v>110</v>
      </c>
      <c r="C25" t="s">
        <v>89</v>
      </c>
      <c r="D25" s="26" t="s">
        <v>90</v>
      </c>
      <c r="E25">
        <v>38.562162905064554</v>
      </c>
    </row>
    <row r="26" spans="1:5" x14ac:dyDescent="0.35">
      <c r="A26" t="s">
        <v>15</v>
      </c>
      <c r="B26" s="26" t="s">
        <v>110</v>
      </c>
      <c r="C26" t="s">
        <v>10</v>
      </c>
      <c r="D26" s="26" t="s">
        <v>91</v>
      </c>
      <c r="E26" t="s">
        <v>92</v>
      </c>
    </row>
    <row r="27" spans="1:5" x14ac:dyDescent="0.35">
      <c r="A27" t="s">
        <v>15</v>
      </c>
      <c r="B27" s="26" t="s">
        <v>110</v>
      </c>
      <c r="C27" t="s">
        <v>93</v>
      </c>
      <c r="D27" s="26" t="s">
        <v>94</v>
      </c>
      <c r="E27">
        <v>-0.78695693690916357</v>
      </c>
    </row>
    <row r="28" spans="1:5" x14ac:dyDescent="0.35">
      <c r="A28" t="s">
        <v>15</v>
      </c>
      <c r="B28" s="26" t="s">
        <v>110</v>
      </c>
      <c r="C28" t="s">
        <v>95</v>
      </c>
      <c r="D28" s="26" t="s">
        <v>96</v>
      </c>
      <c r="E28">
        <v>15.2549085158088</v>
      </c>
    </row>
    <row r="29" spans="1:5" x14ac:dyDescent="0.35">
      <c r="A29" t="s">
        <v>15</v>
      </c>
      <c r="B29" s="26" t="s">
        <v>110</v>
      </c>
      <c r="C29" t="s">
        <v>97</v>
      </c>
      <c r="D29" s="26" t="s">
        <v>98</v>
      </c>
      <c r="E29">
        <v>91.037734985351605</v>
      </c>
    </row>
    <row r="30" spans="1:5" x14ac:dyDescent="0.35">
      <c r="A30" t="s">
        <v>15</v>
      </c>
      <c r="B30" s="26" t="s">
        <v>110</v>
      </c>
      <c r="C30" t="s">
        <v>99</v>
      </c>
      <c r="D30" s="26" t="s">
        <v>100</v>
      </c>
      <c r="E30">
        <v>83.412322998046903</v>
      </c>
    </row>
    <row r="31" spans="1:5" x14ac:dyDescent="0.35">
      <c r="A31" t="s">
        <v>15</v>
      </c>
      <c r="B31" s="26" t="s">
        <v>110</v>
      </c>
      <c r="C31" t="s">
        <v>101</v>
      </c>
      <c r="D31" s="26" t="s">
        <v>102</v>
      </c>
      <c r="E31" t="s">
        <v>92</v>
      </c>
    </row>
    <row r="32" spans="1:5" x14ac:dyDescent="0.35">
      <c r="A32" t="s">
        <v>15</v>
      </c>
      <c r="B32" s="26" t="s">
        <v>110</v>
      </c>
      <c r="C32" t="s">
        <v>103</v>
      </c>
      <c r="D32" s="26" t="s">
        <v>104</v>
      </c>
      <c r="E32" t="s">
        <v>92</v>
      </c>
    </row>
    <row r="33" spans="1:5" x14ac:dyDescent="0.35">
      <c r="A33" t="s">
        <v>15</v>
      </c>
      <c r="B33" s="26" t="s">
        <v>110</v>
      </c>
      <c r="C33" t="s">
        <v>105</v>
      </c>
      <c r="D33" s="26" t="s">
        <v>106</v>
      </c>
      <c r="E33">
        <v>7.5346127024173981</v>
      </c>
    </row>
    <row r="34" spans="1:5" x14ac:dyDescent="0.35">
      <c r="A34" t="s">
        <v>15</v>
      </c>
      <c r="B34" s="26" t="s">
        <v>110</v>
      </c>
      <c r="C34" t="s">
        <v>107</v>
      </c>
      <c r="D34" s="26" t="s">
        <v>108</v>
      </c>
      <c r="E34">
        <v>12.27</v>
      </c>
    </row>
    <row r="35" spans="1:5" x14ac:dyDescent="0.35">
      <c r="A35" t="s">
        <v>13</v>
      </c>
      <c r="B35" s="26" t="s">
        <v>111</v>
      </c>
      <c r="C35" t="s">
        <v>9</v>
      </c>
      <c r="D35" s="26" t="s">
        <v>88</v>
      </c>
      <c r="E35">
        <v>3.3519999999999999</v>
      </c>
    </row>
    <row r="36" spans="1:5" x14ac:dyDescent="0.35">
      <c r="A36" t="s">
        <v>13</v>
      </c>
      <c r="B36" s="26" t="s">
        <v>111</v>
      </c>
      <c r="C36" t="s">
        <v>89</v>
      </c>
      <c r="D36" s="26" t="s">
        <v>90</v>
      </c>
      <c r="E36">
        <v>53.095819308083328</v>
      </c>
    </row>
    <row r="37" spans="1:5" x14ac:dyDescent="0.35">
      <c r="A37" t="s">
        <v>13</v>
      </c>
      <c r="B37" s="26" t="s">
        <v>111</v>
      </c>
      <c r="C37" t="s">
        <v>10</v>
      </c>
      <c r="D37" s="26" t="s">
        <v>91</v>
      </c>
      <c r="E37" t="s">
        <v>92</v>
      </c>
    </row>
    <row r="38" spans="1:5" x14ac:dyDescent="0.35">
      <c r="A38" t="s">
        <v>13</v>
      </c>
      <c r="B38" s="26" t="s">
        <v>111</v>
      </c>
      <c r="C38" t="s">
        <v>93</v>
      </c>
      <c r="D38" s="26" t="s">
        <v>94</v>
      </c>
      <c r="E38">
        <v>8.3673514620538754</v>
      </c>
    </row>
    <row r="39" spans="1:5" x14ac:dyDescent="0.35">
      <c r="A39" t="s">
        <v>13</v>
      </c>
      <c r="B39" s="26" t="s">
        <v>111</v>
      </c>
      <c r="C39" t="s">
        <v>95</v>
      </c>
      <c r="D39" s="26" t="s">
        <v>96</v>
      </c>
      <c r="E39">
        <v>20.87636272368</v>
      </c>
    </row>
    <row r="40" spans="1:5" x14ac:dyDescent="0.35">
      <c r="A40" t="s">
        <v>13</v>
      </c>
      <c r="B40" s="26" t="s">
        <v>111</v>
      </c>
      <c r="C40" t="s">
        <v>97</v>
      </c>
      <c r="D40" s="26" t="s">
        <v>98</v>
      </c>
      <c r="E40">
        <v>14.622641563415501</v>
      </c>
    </row>
    <row r="41" spans="1:5" x14ac:dyDescent="0.35">
      <c r="A41" t="s">
        <v>13</v>
      </c>
      <c r="B41" s="26" t="s">
        <v>111</v>
      </c>
      <c r="C41" t="s">
        <v>99</v>
      </c>
      <c r="D41" s="26" t="s">
        <v>100</v>
      </c>
      <c r="E41">
        <v>15.6398105621338</v>
      </c>
    </row>
    <row r="42" spans="1:5" x14ac:dyDescent="0.35">
      <c r="A42" t="s">
        <v>13</v>
      </c>
      <c r="B42" s="26" t="s">
        <v>111</v>
      </c>
      <c r="C42" t="s">
        <v>101</v>
      </c>
      <c r="D42" s="26" t="s">
        <v>102</v>
      </c>
      <c r="E42" t="s">
        <v>92</v>
      </c>
    </row>
    <row r="43" spans="1:5" x14ac:dyDescent="0.35">
      <c r="A43" t="s">
        <v>13</v>
      </c>
      <c r="B43" s="26" t="s">
        <v>111</v>
      </c>
      <c r="C43" t="s">
        <v>103</v>
      </c>
      <c r="D43" s="26" t="s">
        <v>104</v>
      </c>
      <c r="E43" t="s">
        <v>92</v>
      </c>
    </row>
    <row r="44" spans="1:5" x14ac:dyDescent="0.35">
      <c r="A44" t="s">
        <v>13</v>
      </c>
      <c r="B44" s="26" t="s">
        <v>111</v>
      </c>
      <c r="C44" t="s">
        <v>105</v>
      </c>
      <c r="D44" s="26" t="s">
        <v>106</v>
      </c>
      <c r="E44">
        <v>0.62946123762280082</v>
      </c>
    </row>
    <row r="45" spans="1:5" x14ac:dyDescent="0.35">
      <c r="A45" t="s">
        <v>13</v>
      </c>
      <c r="B45" s="26" t="s">
        <v>111</v>
      </c>
      <c r="C45" t="s">
        <v>107</v>
      </c>
      <c r="D45" s="26" t="s">
        <v>108</v>
      </c>
      <c r="E45">
        <v>7.57</v>
      </c>
    </row>
    <row r="46" spans="1:5" x14ac:dyDescent="0.35">
      <c r="A46" t="s">
        <v>14</v>
      </c>
      <c r="B46" s="26" t="s">
        <v>112</v>
      </c>
      <c r="C46" t="s">
        <v>9</v>
      </c>
      <c r="D46" s="26" t="s">
        <v>88</v>
      </c>
      <c r="E46" t="s">
        <v>92</v>
      </c>
    </row>
    <row r="47" spans="1:5" x14ac:dyDescent="0.35">
      <c r="A47" t="s">
        <v>14</v>
      </c>
      <c r="B47" s="26" t="s">
        <v>112</v>
      </c>
      <c r="C47" t="s">
        <v>89</v>
      </c>
      <c r="D47" s="26" t="s">
        <v>90</v>
      </c>
      <c r="E47">
        <v>54.022013374751495</v>
      </c>
    </row>
    <row r="48" spans="1:5" x14ac:dyDescent="0.35">
      <c r="A48" t="s">
        <v>14</v>
      </c>
      <c r="B48" s="26" t="s">
        <v>112</v>
      </c>
      <c r="C48" t="s">
        <v>10</v>
      </c>
      <c r="D48" s="26" t="s">
        <v>91</v>
      </c>
      <c r="E48" t="s">
        <v>92</v>
      </c>
    </row>
    <row r="49" spans="1:5" x14ac:dyDescent="0.35">
      <c r="A49" t="s">
        <v>14</v>
      </c>
      <c r="B49" s="26" t="s">
        <v>112</v>
      </c>
      <c r="C49" t="s">
        <v>93</v>
      </c>
      <c r="D49" s="26" t="s">
        <v>94</v>
      </c>
      <c r="E49">
        <v>1.2896675365729777</v>
      </c>
    </row>
    <row r="50" spans="1:5" x14ac:dyDescent="0.35">
      <c r="A50" t="s">
        <v>14</v>
      </c>
      <c r="B50" s="26" t="s">
        <v>112</v>
      </c>
      <c r="C50" t="s">
        <v>95</v>
      </c>
      <c r="D50" s="26" t="s">
        <v>96</v>
      </c>
      <c r="E50">
        <v>17.5572051706948</v>
      </c>
    </row>
    <row r="51" spans="1:5" x14ac:dyDescent="0.35">
      <c r="A51" t="s">
        <v>14</v>
      </c>
      <c r="B51" s="26" t="s">
        <v>112</v>
      </c>
      <c r="C51" t="s">
        <v>97</v>
      </c>
      <c r="D51" s="26" t="s">
        <v>98</v>
      </c>
      <c r="E51">
        <v>33.962265014648402</v>
      </c>
    </row>
    <row r="52" spans="1:5" x14ac:dyDescent="0.35">
      <c r="A52" t="s">
        <v>14</v>
      </c>
      <c r="B52" s="26" t="s">
        <v>112</v>
      </c>
      <c r="C52" t="s">
        <v>99</v>
      </c>
      <c r="D52" s="26" t="s">
        <v>100</v>
      </c>
      <c r="E52">
        <v>39.336494445800803</v>
      </c>
    </row>
    <row r="53" spans="1:5" x14ac:dyDescent="0.35">
      <c r="A53" t="s">
        <v>14</v>
      </c>
      <c r="B53" s="26" t="s">
        <v>112</v>
      </c>
      <c r="C53" t="s">
        <v>101</v>
      </c>
      <c r="D53" s="26" t="s">
        <v>102</v>
      </c>
      <c r="E53" t="s">
        <v>92</v>
      </c>
    </row>
    <row r="54" spans="1:5" x14ac:dyDescent="0.35">
      <c r="A54" t="s">
        <v>14</v>
      </c>
      <c r="B54" s="26" t="s">
        <v>112</v>
      </c>
      <c r="C54" t="s">
        <v>103</v>
      </c>
      <c r="D54" s="26" t="s">
        <v>104</v>
      </c>
      <c r="E54" t="s">
        <v>92</v>
      </c>
    </row>
    <row r="55" spans="1:5" x14ac:dyDescent="0.35">
      <c r="A55" t="s">
        <v>14</v>
      </c>
      <c r="B55" s="26" t="s">
        <v>112</v>
      </c>
      <c r="C55" t="s">
        <v>105</v>
      </c>
      <c r="D55" s="26" t="s">
        <v>106</v>
      </c>
      <c r="E55" t="s">
        <v>92</v>
      </c>
    </row>
    <row r="56" spans="1:5" x14ac:dyDescent="0.35">
      <c r="A56" t="s">
        <v>14</v>
      </c>
      <c r="B56" s="26" t="s">
        <v>112</v>
      </c>
      <c r="C56" t="s">
        <v>107</v>
      </c>
      <c r="D56" s="26" t="s">
        <v>108</v>
      </c>
      <c r="E56" t="s">
        <v>92</v>
      </c>
    </row>
    <row r="57" spans="1:5" x14ac:dyDescent="0.35">
      <c r="A57" t="s">
        <v>16</v>
      </c>
      <c r="B57" s="26" t="s">
        <v>113</v>
      </c>
      <c r="C57" t="s">
        <v>9</v>
      </c>
      <c r="D57" s="26" t="s">
        <v>88</v>
      </c>
      <c r="E57" t="s">
        <v>92</v>
      </c>
    </row>
    <row r="58" spans="1:5" x14ac:dyDescent="0.35">
      <c r="A58" t="s">
        <v>16</v>
      </c>
      <c r="B58" s="26" t="s">
        <v>113</v>
      </c>
      <c r="C58" t="s">
        <v>89</v>
      </c>
      <c r="D58" s="26" t="s">
        <v>90</v>
      </c>
      <c r="E58">
        <v>51.745033375022985</v>
      </c>
    </row>
    <row r="59" spans="1:5" x14ac:dyDescent="0.35">
      <c r="A59" t="s">
        <v>16</v>
      </c>
      <c r="B59" s="26" t="s">
        <v>113</v>
      </c>
      <c r="C59" t="s">
        <v>10</v>
      </c>
      <c r="D59" s="26" t="s">
        <v>91</v>
      </c>
      <c r="E59" t="s">
        <v>92</v>
      </c>
    </row>
    <row r="60" spans="1:5" x14ac:dyDescent="0.35">
      <c r="A60" t="s">
        <v>16</v>
      </c>
      <c r="B60" s="26" t="s">
        <v>113</v>
      </c>
      <c r="C60" t="s">
        <v>93</v>
      </c>
      <c r="D60" s="26" t="s">
        <v>94</v>
      </c>
      <c r="E60">
        <v>-9.2367704012715564</v>
      </c>
    </row>
    <row r="61" spans="1:5" x14ac:dyDescent="0.35">
      <c r="A61" t="s">
        <v>16</v>
      </c>
      <c r="B61" s="26" t="s">
        <v>113</v>
      </c>
      <c r="C61" t="s">
        <v>95</v>
      </c>
      <c r="D61" s="26" t="s">
        <v>96</v>
      </c>
      <c r="E61">
        <v>26.397285916346199</v>
      </c>
    </row>
    <row r="62" spans="1:5" x14ac:dyDescent="0.35">
      <c r="A62" t="s">
        <v>16</v>
      </c>
      <c r="B62" s="26" t="s">
        <v>113</v>
      </c>
      <c r="C62" t="s">
        <v>97</v>
      </c>
      <c r="D62" s="26" t="s">
        <v>98</v>
      </c>
      <c r="E62">
        <v>40.0943412780762</v>
      </c>
    </row>
    <row r="63" spans="1:5" x14ac:dyDescent="0.35">
      <c r="A63" t="s">
        <v>16</v>
      </c>
      <c r="B63" s="26" t="s">
        <v>113</v>
      </c>
      <c r="C63" t="s">
        <v>99</v>
      </c>
      <c r="D63" s="26" t="s">
        <v>100</v>
      </c>
      <c r="E63">
        <v>25.5924167633057</v>
      </c>
    </row>
    <row r="64" spans="1:5" x14ac:dyDescent="0.35">
      <c r="A64" t="s">
        <v>16</v>
      </c>
      <c r="B64" s="26" t="s">
        <v>113</v>
      </c>
      <c r="C64" t="s">
        <v>101</v>
      </c>
      <c r="D64" s="26" t="s">
        <v>102</v>
      </c>
      <c r="E64" t="s">
        <v>92</v>
      </c>
    </row>
    <row r="65" spans="1:5" x14ac:dyDescent="0.35">
      <c r="A65" t="s">
        <v>16</v>
      </c>
      <c r="B65" s="26" t="s">
        <v>113</v>
      </c>
      <c r="C65" t="s">
        <v>103</v>
      </c>
      <c r="D65" s="26" t="s">
        <v>104</v>
      </c>
      <c r="E65" t="s">
        <v>92</v>
      </c>
    </row>
    <row r="66" spans="1:5" x14ac:dyDescent="0.35">
      <c r="A66" t="s">
        <v>16</v>
      </c>
      <c r="B66" s="26" t="s">
        <v>113</v>
      </c>
      <c r="C66" t="s">
        <v>105</v>
      </c>
      <c r="D66" s="26" t="s">
        <v>106</v>
      </c>
      <c r="E66" t="s">
        <v>92</v>
      </c>
    </row>
    <row r="67" spans="1:5" x14ac:dyDescent="0.35">
      <c r="A67" t="s">
        <v>16</v>
      </c>
      <c r="B67" s="26" t="s">
        <v>113</v>
      </c>
      <c r="C67" t="s">
        <v>107</v>
      </c>
      <c r="D67" s="26" t="s">
        <v>108</v>
      </c>
      <c r="E67" t="s">
        <v>92</v>
      </c>
    </row>
    <row r="68" spans="1:5" x14ac:dyDescent="0.35">
      <c r="A68" t="s">
        <v>12</v>
      </c>
      <c r="B68" s="26" t="s">
        <v>114</v>
      </c>
      <c r="C68" t="s">
        <v>9</v>
      </c>
      <c r="D68" s="26" t="s">
        <v>88</v>
      </c>
      <c r="E68" t="s">
        <v>92</v>
      </c>
    </row>
    <row r="69" spans="1:5" x14ac:dyDescent="0.35">
      <c r="A69" t="s">
        <v>12</v>
      </c>
      <c r="B69" s="26" t="s">
        <v>114</v>
      </c>
      <c r="C69" t="s">
        <v>89</v>
      </c>
      <c r="D69" s="26" t="s">
        <v>90</v>
      </c>
      <c r="E69">
        <v>70.167386251940457</v>
      </c>
    </row>
    <row r="70" spans="1:5" x14ac:dyDescent="0.35">
      <c r="A70" t="s">
        <v>12</v>
      </c>
      <c r="B70" s="26" t="s">
        <v>114</v>
      </c>
      <c r="C70" t="s">
        <v>10</v>
      </c>
      <c r="D70" s="26" t="s">
        <v>91</v>
      </c>
      <c r="E70" t="s">
        <v>92</v>
      </c>
    </row>
    <row r="71" spans="1:5" x14ac:dyDescent="0.35">
      <c r="A71" t="s">
        <v>12</v>
      </c>
      <c r="B71" s="26" t="s">
        <v>114</v>
      </c>
      <c r="C71" t="s">
        <v>93</v>
      </c>
      <c r="D71" s="26" t="s">
        <v>94</v>
      </c>
      <c r="E71">
        <v>-3.8788894498653406</v>
      </c>
    </row>
    <row r="72" spans="1:5" x14ac:dyDescent="0.35">
      <c r="A72" t="s">
        <v>12</v>
      </c>
      <c r="B72" s="26" t="s">
        <v>114</v>
      </c>
      <c r="C72" t="s">
        <v>95</v>
      </c>
      <c r="D72" s="26" t="s">
        <v>96</v>
      </c>
      <c r="E72">
        <v>25.592232070099499</v>
      </c>
    </row>
    <row r="73" spans="1:5" x14ac:dyDescent="0.35">
      <c r="A73" t="s">
        <v>12</v>
      </c>
      <c r="B73" s="26" t="s">
        <v>114</v>
      </c>
      <c r="C73" t="s">
        <v>97</v>
      </c>
      <c r="D73" s="26" t="s">
        <v>98</v>
      </c>
      <c r="E73">
        <v>18.867923736572301</v>
      </c>
    </row>
    <row r="74" spans="1:5" x14ac:dyDescent="0.35">
      <c r="A74" t="s">
        <v>12</v>
      </c>
      <c r="B74" s="26" t="s">
        <v>114</v>
      </c>
      <c r="C74" t="s">
        <v>99</v>
      </c>
      <c r="D74" s="26" t="s">
        <v>100</v>
      </c>
      <c r="E74">
        <v>6.63507127761841</v>
      </c>
    </row>
    <row r="75" spans="1:5" x14ac:dyDescent="0.35">
      <c r="A75" t="s">
        <v>12</v>
      </c>
      <c r="B75" s="26" t="s">
        <v>114</v>
      </c>
      <c r="C75" t="s">
        <v>101</v>
      </c>
      <c r="D75" s="26" t="s">
        <v>102</v>
      </c>
      <c r="E75" t="s">
        <v>92</v>
      </c>
    </row>
    <row r="76" spans="1:5" x14ac:dyDescent="0.35">
      <c r="A76" t="s">
        <v>12</v>
      </c>
      <c r="B76" s="26" t="s">
        <v>114</v>
      </c>
      <c r="C76" t="s">
        <v>103</v>
      </c>
      <c r="D76" s="26" t="s">
        <v>104</v>
      </c>
      <c r="E76">
        <v>0.16375000000000001</v>
      </c>
    </row>
    <row r="77" spans="1:5" x14ac:dyDescent="0.35">
      <c r="A77" t="s">
        <v>12</v>
      </c>
      <c r="B77" s="26" t="s">
        <v>114</v>
      </c>
      <c r="C77" t="s">
        <v>105</v>
      </c>
      <c r="D77" s="26" t="s">
        <v>106</v>
      </c>
      <c r="E77" t="s">
        <v>92</v>
      </c>
    </row>
    <row r="78" spans="1:5" x14ac:dyDescent="0.35">
      <c r="A78" t="s">
        <v>12</v>
      </c>
      <c r="B78" s="26" t="s">
        <v>114</v>
      </c>
      <c r="C78" t="s">
        <v>107</v>
      </c>
      <c r="D78" s="26" t="s">
        <v>108</v>
      </c>
      <c r="E78" t="s">
        <v>92</v>
      </c>
    </row>
  </sheetData>
  <autoFilter ref="A1:E78" xr:uid="{9C4393B4-1796-49CE-B506-1AB07660849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F308-07F9-46BB-8C00-318BEA163ECE}">
  <dimension ref="A1:E13"/>
  <sheetViews>
    <sheetView topLeftCell="B1" workbookViewId="0">
      <selection activeCell="D4" sqref="D4"/>
    </sheetView>
  </sheetViews>
  <sheetFormatPr defaultRowHeight="14.5" x14ac:dyDescent="0.35"/>
  <cols>
    <col min="1" max="1" width="9" bestFit="1" customWidth="1"/>
    <col min="2" max="2" width="45.7265625" customWidth="1"/>
    <col min="3" max="3" width="20.7265625" bestFit="1" customWidth="1"/>
    <col min="4" max="4" width="66.7265625" customWidth="1"/>
    <col min="5" max="5" width="30.1796875" customWidth="1"/>
  </cols>
  <sheetData>
    <row r="1" spans="1:5" x14ac:dyDescent="0.35">
      <c r="A1" s="20" t="s">
        <v>70</v>
      </c>
      <c r="B1" s="20" t="s">
        <v>69</v>
      </c>
      <c r="C1" s="21" t="s">
        <v>71</v>
      </c>
      <c r="D1" s="21" t="s">
        <v>72</v>
      </c>
      <c r="E1" s="19" t="s">
        <v>73</v>
      </c>
    </row>
    <row r="2" spans="1:5" ht="72.5" x14ac:dyDescent="0.35">
      <c r="A2" s="1" t="s">
        <v>11</v>
      </c>
      <c r="B2" s="15" t="s">
        <v>28</v>
      </c>
      <c r="C2" s="15" t="s">
        <v>29</v>
      </c>
      <c r="D2" s="23" t="s">
        <v>78</v>
      </c>
      <c r="E2" s="22" t="s">
        <v>74</v>
      </c>
    </row>
    <row r="3" spans="1:5" ht="58" x14ac:dyDescent="0.35">
      <c r="A3" s="1" t="s">
        <v>11</v>
      </c>
      <c r="B3" s="15" t="s">
        <v>31</v>
      </c>
      <c r="C3" s="15" t="s">
        <v>29</v>
      </c>
      <c r="D3" s="23" t="s">
        <v>79</v>
      </c>
      <c r="E3" s="22" t="s">
        <v>75</v>
      </c>
    </row>
    <row r="4" spans="1:5" ht="43.5" x14ac:dyDescent="0.35">
      <c r="A4" s="16" t="s">
        <v>13</v>
      </c>
      <c r="B4" s="18" t="s">
        <v>50</v>
      </c>
      <c r="C4" s="18" t="s">
        <v>29</v>
      </c>
      <c r="D4" s="25" t="s">
        <v>80</v>
      </c>
      <c r="E4" s="24" t="s">
        <v>76</v>
      </c>
    </row>
    <row r="5" spans="1:5" ht="58" x14ac:dyDescent="0.35">
      <c r="A5" s="16" t="s">
        <v>13</v>
      </c>
      <c r="B5" s="18" t="s">
        <v>52</v>
      </c>
      <c r="C5" s="18" t="s">
        <v>29</v>
      </c>
      <c r="D5" s="23" t="s">
        <v>81</v>
      </c>
      <c r="E5" t="s">
        <v>77</v>
      </c>
    </row>
    <row r="6" spans="1:5" x14ac:dyDescent="0.35">
      <c r="A6" s="1"/>
      <c r="B6" s="15"/>
      <c r="C6" s="15"/>
      <c r="D6" s="1"/>
      <c r="E6" s="1"/>
    </row>
    <row r="7" spans="1:5" x14ac:dyDescent="0.35">
      <c r="A7" s="1"/>
      <c r="B7" s="15"/>
      <c r="C7" s="15"/>
      <c r="D7" s="1"/>
      <c r="E7" s="1"/>
    </row>
    <row r="8" spans="1:5" x14ac:dyDescent="0.35">
      <c r="A8" s="1"/>
      <c r="B8" s="15"/>
      <c r="C8" s="15"/>
      <c r="D8" s="1"/>
      <c r="E8" s="1"/>
    </row>
    <row r="9" spans="1:5" x14ac:dyDescent="0.35">
      <c r="A9" s="1"/>
      <c r="B9" s="15"/>
      <c r="C9" s="15"/>
      <c r="D9" s="1"/>
      <c r="E9" s="1"/>
    </row>
    <row r="10" spans="1:5" x14ac:dyDescent="0.35">
      <c r="A10" s="1"/>
      <c r="B10" s="15"/>
      <c r="C10" s="15"/>
      <c r="D10" s="1"/>
      <c r="E10" s="1"/>
    </row>
    <row r="11" spans="1:5" x14ac:dyDescent="0.35">
      <c r="A11" s="1"/>
      <c r="B11" s="15"/>
      <c r="C11" s="15"/>
      <c r="D11" s="1"/>
      <c r="E11" s="1"/>
    </row>
    <row r="12" spans="1:5" x14ac:dyDescent="0.35">
      <c r="A12" s="1"/>
      <c r="B12" s="1"/>
      <c r="C12" s="15"/>
      <c r="D12" s="1"/>
      <c r="E12" s="1"/>
    </row>
    <row r="13" spans="1:5" x14ac:dyDescent="0.35">
      <c r="A13" s="1"/>
      <c r="C13" s="1"/>
      <c r="E13" s="1"/>
    </row>
  </sheetData>
  <hyperlinks>
    <hyperlink ref="E2" r:id="rId1" xr:uid="{76760FB4-5682-4B52-91B7-AB1A20F4C47E}"/>
    <hyperlink ref="E3" r:id="rId2" xr:uid="{C6CCB5AE-6E7B-4AF5-BF44-A17A0389E506}"/>
    <hyperlink ref="E4" r:id="rId3" xr:uid="{B909BAD3-3C57-4867-BF76-A41E984495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41AA-68FA-486D-AB4A-99024F215575}">
  <dimension ref="A1:E11"/>
  <sheetViews>
    <sheetView workbookViewId="0">
      <selection activeCell="B14" sqref="B14"/>
    </sheetView>
  </sheetViews>
  <sheetFormatPr defaultRowHeight="14.5" x14ac:dyDescent="0.35"/>
  <cols>
    <col min="1" max="1" width="17.36328125" bestFit="1" customWidth="1"/>
    <col min="2" max="2" width="35.7265625" bestFit="1" customWidth="1"/>
    <col min="3" max="3" width="20.7265625" bestFit="1" customWidth="1"/>
    <col min="4" max="4" width="15.7265625" bestFit="1" customWidth="1"/>
    <col min="5" max="5" width="26" bestFit="1" customWidth="1"/>
  </cols>
  <sheetData>
    <row r="1" spans="1:5" x14ac:dyDescent="0.35">
      <c r="A1" s="1" t="str">
        <f>_xll.TR("SCREEN(U(IN(Equity(active,public,primary))/*UNV:Public*/), IN(TR.HQCountryCode,""IN"",""MV""), IN(TR.GICSSectorCode,""20""), TOP(TR.CompanyMarketCap(Scale=6), 10, nnumber), CURN=USD)","TR.CommonName;TR.HeadquartersCountry;TR.GICSSector;TR.Compan"&amp;"yMarketCap(Scale=6)","curn=USD RH=In CH=Fd")</f>
        <v>Not Signed In</v>
      </c>
      <c r="B1" s="15" t="s">
        <v>24</v>
      </c>
      <c r="C1" s="15" t="s">
        <v>25</v>
      </c>
      <c r="D1" s="15" t="s">
        <v>26</v>
      </c>
      <c r="E1" s="15" t="s">
        <v>48</v>
      </c>
    </row>
    <row r="2" spans="1:5" x14ac:dyDescent="0.35">
      <c r="A2" s="15" t="s">
        <v>27</v>
      </c>
      <c r="B2" s="15" t="s">
        <v>28</v>
      </c>
      <c r="C2" s="15" t="s">
        <v>11</v>
      </c>
      <c r="D2" s="15" t="s">
        <v>29</v>
      </c>
      <c r="E2" s="1">
        <v>62158.137918881701</v>
      </c>
    </row>
    <row r="3" spans="1:5" x14ac:dyDescent="0.35">
      <c r="A3" s="15" t="s">
        <v>30</v>
      </c>
      <c r="B3" s="15" t="s">
        <v>31</v>
      </c>
      <c r="C3" s="15" t="s">
        <v>11</v>
      </c>
      <c r="D3" s="15" t="s">
        <v>29</v>
      </c>
      <c r="E3" s="1">
        <v>36078.642376739102</v>
      </c>
    </row>
    <row r="4" spans="1:5" x14ac:dyDescent="0.35">
      <c r="A4" s="15" t="s">
        <v>32</v>
      </c>
      <c r="B4" s="15" t="s">
        <v>33</v>
      </c>
      <c r="C4" s="15" t="s">
        <v>11</v>
      </c>
      <c r="D4" s="15" t="s">
        <v>29</v>
      </c>
      <c r="E4" s="1">
        <v>31913.100569762799</v>
      </c>
    </row>
    <row r="5" spans="1:5" x14ac:dyDescent="0.35">
      <c r="A5" s="15" t="s">
        <v>34</v>
      </c>
      <c r="B5" s="15" t="s">
        <v>35</v>
      </c>
      <c r="C5" s="15" t="s">
        <v>11</v>
      </c>
      <c r="D5" s="15" t="s">
        <v>29</v>
      </c>
      <c r="E5" s="1">
        <v>31538.978815332299</v>
      </c>
    </row>
    <row r="6" spans="1:5" x14ac:dyDescent="0.35">
      <c r="A6" s="15" t="s">
        <v>36</v>
      </c>
      <c r="B6" s="15" t="s">
        <v>37</v>
      </c>
      <c r="C6" s="15" t="s">
        <v>11</v>
      </c>
      <c r="D6" s="15" t="s">
        <v>29</v>
      </c>
      <c r="E6" s="1">
        <v>29043.134836337798</v>
      </c>
    </row>
    <row r="7" spans="1:5" x14ac:dyDescent="0.35">
      <c r="A7" s="15" t="s">
        <v>38</v>
      </c>
      <c r="B7" s="15" t="s">
        <v>39</v>
      </c>
      <c r="C7" s="15" t="s">
        <v>11</v>
      </c>
      <c r="D7" s="15" t="s">
        <v>29</v>
      </c>
      <c r="E7" s="1">
        <v>21196.232657225799</v>
      </c>
    </row>
    <row r="8" spans="1:5" x14ac:dyDescent="0.35">
      <c r="A8" s="15" t="s">
        <v>40</v>
      </c>
      <c r="B8" s="15" t="s">
        <v>41</v>
      </c>
      <c r="C8" s="15" t="s">
        <v>11</v>
      </c>
      <c r="D8" s="15" t="s">
        <v>29</v>
      </c>
      <c r="E8" s="1">
        <v>15367.443381756</v>
      </c>
    </row>
    <row r="9" spans="1:5" x14ac:dyDescent="0.35">
      <c r="A9" s="15" t="s">
        <v>42</v>
      </c>
      <c r="B9" s="15" t="s">
        <v>43</v>
      </c>
      <c r="C9" s="15" t="s">
        <v>11</v>
      </c>
      <c r="D9" s="15" t="s">
        <v>29</v>
      </c>
      <c r="E9" s="1">
        <v>13895.811580760599</v>
      </c>
    </row>
    <row r="10" spans="1:5" x14ac:dyDescent="0.35">
      <c r="A10" s="15" t="s">
        <v>44</v>
      </c>
      <c r="B10" s="15" t="s">
        <v>45</v>
      </c>
      <c r="C10" s="15" t="s">
        <v>11</v>
      </c>
      <c r="D10" s="15" t="s">
        <v>29</v>
      </c>
      <c r="E10" s="1">
        <v>12417.266581522499</v>
      </c>
    </row>
    <row r="11" spans="1:5" x14ac:dyDescent="0.35">
      <c r="A11" s="15" t="s">
        <v>46</v>
      </c>
      <c r="B11" s="15" t="s">
        <v>47</v>
      </c>
      <c r="C11" s="15" t="s">
        <v>11</v>
      </c>
      <c r="D11" s="15" t="s">
        <v>29</v>
      </c>
      <c r="E11" s="1">
        <v>12366.2356110044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3F19-E521-4B54-98F2-A0220A138E79}">
  <dimension ref="A1:E11"/>
  <sheetViews>
    <sheetView workbookViewId="0">
      <selection activeCell="C15" sqref="C15"/>
    </sheetView>
  </sheetViews>
  <sheetFormatPr defaultRowHeight="14.5" x14ac:dyDescent="0.35"/>
  <cols>
    <col min="1" max="1" width="17.36328125" bestFit="1" customWidth="1"/>
    <col min="2" max="2" width="31.90625" bestFit="1" customWidth="1"/>
    <col min="3" max="3" width="20.7265625" bestFit="1" customWidth="1"/>
    <col min="4" max="4" width="15.7265625" bestFit="1" customWidth="1"/>
    <col min="5" max="5" width="28.08984375" bestFit="1" customWidth="1"/>
  </cols>
  <sheetData>
    <row r="1" spans="1:5" s="17" customFormat="1" x14ac:dyDescent="0.35">
      <c r="A1" s="17" t="str">
        <f>_xll.TR("SCREEN(U(IN(Equity(active,public,primary))/*UNV:Public*/), IN(TR.HQCountryCode,""BD""), IN(TR.GICSSectorCode,""20""), TOP(TR.CompanyMarketCap(Scale=6), 10, nnumber), CURN=USD)","TR.CommonName;TR.HeadquartersCountry;TR.GICSSector;TR.CompanyMarket"&amp;"Cap(Scale=6)","curn=USD RH=In CH=Fd")</f>
        <v>Not Signed In</v>
      </c>
      <c r="B1" s="18" t="s">
        <v>24</v>
      </c>
      <c r="C1" s="18" t="s">
        <v>25</v>
      </c>
      <c r="D1" s="18" t="s">
        <v>26</v>
      </c>
      <c r="E1" s="15" t="s">
        <v>48</v>
      </c>
    </row>
    <row r="2" spans="1:5" x14ac:dyDescent="0.35">
      <c r="A2" s="18" t="s">
        <v>49</v>
      </c>
      <c r="B2" s="18" t="s">
        <v>50</v>
      </c>
      <c r="C2" s="18" t="s">
        <v>13</v>
      </c>
      <c r="D2" s="18" t="s">
        <v>29</v>
      </c>
      <c r="E2" s="17">
        <v>853.33004276253098</v>
      </c>
    </row>
    <row r="3" spans="1:5" x14ac:dyDescent="0.35">
      <c r="A3" s="18" t="s">
        <v>51</v>
      </c>
      <c r="B3" s="18" t="s">
        <v>52</v>
      </c>
      <c r="C3" s="18" t="s">
        <v>13</v>
      </c>
      <c r="D3" s="18" t="s">
        <v>29</v>
      </c>
      <c r="E3" s="17">
        <v>141.50013277321301</v>
      </c>
    </row>
    <row r="4" spans="1:5" x14ac:dyDescent="0.35">
      <c r="A4" s="18" t="s">
        <v>53</v>
      </c>
      <c r="B4" s="18" t="s">
        <v>54</v>
      </c>
      <c r="C4" s="18" t="s">
        <v>13</v>
      </c>
      <c r="D4" s="18" t="s">
        <v>29</v>
      </c>
      <c r="E4" s="17">
        <v>131.10242550534099</v>
      </c>
    </row>
    <row r="5" spans="1:5" x14ac:dyDescent="0.35">
      <c r="A5" s="18" t="s">
        <v>55</v>
      </c>
      <c r="B5" s="18" t="s">
        <v>56</v>
      </c>
      <c r="C5" s="18" t="s">
        <v>13</v>
      </c>
      <c r="D5" s="18" t="s">
        <v>29</v>
      </c>
      <c r="E5" s="17">
        <v>79.215216976992593</v>
      </c>
    </row>
    <row r="6" spans="1:5" x14ac:dyDescent="0.35">
      <c r="A6" s="18" t="s">
        <v>57</v>
      </c>
      <c r="B6" s="18" t="s">
        <v>58</v>
      </c>
      <c r="C6" s="18" t="s">
        <v>13</v>
      </c>
      <c r="D6" s="18" t="s">
        <v>29</v>
      </c>
      <c r="E6" s="17">
        <v>78.419901662284303</v>
      </c>
    </row>
    <row r="7" spans="1:5" x14ac:dyDescent="0.35">
      <c r="A7" s="18" t="s">
        <v>59</v>
      </c>
      <c r="B7" s="18" t="s">
        <v>60</v>
      </c>
      <c r="C7" s="18" t="s">
        <v>13</v>
      </c>
      <c r="D7" s="18" t="s">
        <v>29</v>
      </c>
      <c r="E7" s="17">
        <v>32.293719459326198</v>
      </c>
    </row>
    <row r="8" spans="1:5" x14ac:dyDescent="0.35">
      <c r="A8" s="18" t="s">
        <v>61</v>
      </c>
      <c r="B8" s="18" t="s">
        <v>62</v>
      </c>
      <c r="C8" s="18" t="s">
        <v>13</v>
      </c>
      <c r="D8" s="18" t="s">
        <v>29</v>
      </c>
      <c r="E8" s="17">
        <v>27.786387148726401</v>
      </c>
    </row>
    <row r="9" spans="1:5" x14ac:dyDescent="0.35">
      <c r="A9" s="18" t="s">
        <v>63</v>
      </c>
      <c r="B9" s="18" t="s">
        <v>64</v>
      </c>
      <c r="C9" s="18" t="s">
        <v>13</v>
      </c>
      <c r="D9" s="18" t="s">
        <v>29</v>
      </c>
      <c r="E9" s="17">
        <v>27.0827184387839</v>
      </c>
    </row>
    <row r="10" spans="1:5" x14ac:dyDescent="0.35">
      <c r="A10" s="18" t="s">
        <v>65</v>
      </c>
      <c r="B10" s="18" t="s">
        <v>66</v>
      </c>
      <c r="C10" s="18" t="s">
        <v>13</v>
      </c>
      <c r="D10" s="18" t="s">
        <v>29</v>
      </c>
      <c r="E10" s="17">
        <v>26.2680154617913</v>
      </c>
    </row>
    <row r="11" spans="1:5" x14ac:dyDescent="0.35">
      <c r="A11" s="18" t="s">
        <v>67</v>
      </c>
      <c r="B11" s="18" t="s">
        <v>68</v>
      </c>
      <c r="C11" s="18" t="s">
        <v>13</v>
      </c>
      <c r="D11" s="18" t="s">
        <v>29</v>
      </c>
      <c r="E11" s="17">
        <v>24.924897288414101</v>
      </c>
    </row>
  </sheetData>
  <pageMargins left="0.7" right="0.7" top="0.75" bottom="0.75" header="0.3" footer="0.3"/>
  <customProperties>
    <customPr name="REFI_OFFICE_FUNCTION_DATA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9FF4E2885884694A681FA4EB2C605" ma:contentTypeVersion="13" ma:contentTypeDescription="Create a new document." ma:contentTypeScope="" ma:versionID="e1f12f70636e7791b192900f0623ce91">
  <xsd:schema xmlns:xsd="http://www.w3.org/2001/XMLSchema" xmlns:xs="http://www.w3.org/2001/XMLSchema" xmlns:p="http://schemas.microsoft.com/office/2006/metadata/properties" xmlns:ns3="faa8180c-8896-4428-a65c-a9d1575c3a83" targetNamespace="http://schemas.microsoft.com/office/2006/metadata/properties" ma:root="true" ma:fieldsID="6efaaca686f6567a963c78daaaf78f94" ns3:_="">
    <xsd:import namespace="faa8180c-8896-4428-a65c-a9d1575c3a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8180c-8896-4428-a65c-a9d1575c3a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a8180c-8896-4428-a65c-a9d1575c3a83" xsi:nil="true"/>
  </documentManagement>
</p:properties>
</file>

<file path=customXml/itemProps1.xml><?xml version="1.0" encoding="utf-8"?>
<ds:datastoreItem xmlns:ds="http://schemas.openxmlformats.org/officeDocument/2006/customXml" ds:itemID="{A3CE4EC8-7850-47E9-92E2-BE3BCD8E9E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899099-F855-4F29-A488-8DCAB09A1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8180c-8896-4428-a65c-a9d1575c3a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46776-19E3-4AAD-A368-B7BD0828DE51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aa8180c-8896-4428-a65c-a9d1575c3a8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MODEL</vt:lpstr>
      <vt:lpstr>NORMALIZED DATA</vt:lpstr>
      <vt:lpstr>DATA</vt:lpstr>
      <vt:lpstr>RAW DATA AND SOURCES</vt:lpstr>
      <vt:lpstr>India</vt:lpstr>
      <vt:lpstr>Top Companies in Industrials</vt:lpstr>
      <vt:lpstr>Industrials (Bangladesh)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ChitranjanKumar-24A6HP513</dc:creator>
  <cp:lastModifiedBy>ChitranjanKumar-24A6HP513</cp:lastModifiedBy>
  <dcterms:created xsi:type="dcterms:W3CDTF">2025-12-07T05:56:56Z</dcterms:created>
  <dcterms:modified xsi:type="dcterms:W3CDTF">2026-03-15T07:51:32Z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0x01010074C9FF4E2885884694A681FA4EB2C605</vt:lpwstr>
  </property>
</Properties>
</file>